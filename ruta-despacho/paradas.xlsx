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das Nube" sheetId="1" state="visible" r:id="rId3"/>
    <sheet name="Paradas Propuesta" sheetId="2" state="visible" r:id="rId4"/>
    <sheet name="Comparación por out" sheetId="3" state="visible" r:id="rId5"/>
    <sheet name="Resumen de viajes" sheetId="4" state="visible" r:id="rId6"/>
    <sheet name="Leyend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<sst xmlns="http://schemas.openxmlformats.org/spreadsheetml/2006/main" count="1903" uniqueCount="447">
  <si>
    <t xml:space="preserve">CÓDIGO</t>
  </si>
  <si>
    <t xml:space="preserve">VIAJE</t>
  </si>
  <si>
    <t xml:space="preserve">CHOFER</t>
  </si>
  <si>
    <t xml:space="preserve">OLA</t>
  </si>
  <si>
    <t xml:space="preserve">ORDEN</t>
  </si>
  <si>
    <t xml:space="preserve">OUT</t>
  </si>
  <si>
    <t xml:space="preserve">CLIENTE</t>
  </si>
  <si>
    <t xml:space="preserve">DIRECCIÓN</t>
  </si>
  <si>
    <t xml:space="preserve">ZONA</t>
  </si>
  <si>
    <t xml:space="preserve">VENDEDOR</t>
  </si>
  <si>
    <t xml:space="preserve">HORA ENTREGA</t>
  </si>
  <si>
    <t xml:space="preserve">LAT</t>
  </si>
  <si>
    <t xml:space="preserve">LON</t>
  </si>
  <si>
    <t xml:space="preserve">NOTA</t>
  </si>
  <si>
    <t xml:space="preserve">N01·1</t>
  </si>
  <si>
    <t xml:space="preserve">N01</t>
  </si>
  <si>
    <t xml:space="preserve">CRISTIAN SALTOS</t>
  </si>
  <si>
    <t xml:space="preserve">55438</t>
  </si>
  <si>
    <t xml:space="preserve">Vazquez Parra Nancy Magnolia</t>
  </si>
  <si>
    <t xml:space="preserve">Javier Loyola Panamericana - Azogues, Azogues, Canar, Ecuador</t>
  </si>
  <si>
    <t xml:space="preserve">NORTE</t>
  </si>
  <si>
    <t xml:space="preserve">Camilo Mora B.</t>
  </si>
  <si>
    <t xml:space="preserve">09:25</t>
  </si>
  <si>
    <t xml:space="preserve">N01·2</t>
  </si>
  <si>
    <t xml:space="preserve">55541</t>
  </si>
  <si>
    <t xml:space="preserve">Acropolis Home Store Ferreteria Walg C.A</t>
  </si>
  <si>
    <t xml:space="preserve">Luis Monsalve Pozo, Diagonal Al Hotel León-Azogues, Azogues, Canar, Ecuador</t>
  </si>
  <si>
    <t xml:space="preserve">10:10</t>
  </si>
  <si>
    <t xml:space="preserve">N01·3</t>
  </si>
  <si>
    <t xml:space="preserve">55417</t>
  </si>
  <si>
    <t xml:space="preserve">Latacela Zuñiga Alex Giovanny</t>
  </si>
  <si>
    <t xml:space="preserve">Av.Luis Monsalve , Azogues, Canar, Ecuador</t>
  </si>
  <si>
    <t xml:space="preserve">11:10</t>
  </si>
  <si>
    <t xml:space="preserve">N01·4</t>
  </si>
  <si>
    <t xml:space="preserve">55418</t>
  </si>
  <si>
    <t xml:space="preserve">Gonzalez Molina Daniel Mateo</t>
  </si>
  <si>
    <t xml:space="preserve">Av. 24 de mayo s/n a 100 mt del redondel del terminal interparroquial, 0301 AZOGUES, Cañar, Ecuador</t>
  </si>
  <si>
    <t xml:space="preserve">11:50</t>
  </si>
  <si>
    <t xml:space="preserve">N01·5</t>
  </si>
  <si>
    <t xml:space="preserve">55366</t>
  </si>
  <si>
    <t xml:space="preserve">Crespo Avila Luis Manuel</t>
  </si>
  <si>
    <t xml:space="preserve">Av Hno Ignacio Neira S/N Bajos Del Recinto Ferial, Azogues, Canar, Ecuador</t>
  </si>
  <si>
    <t xml:space="preserve">Jaqui Bustamante</t>
  </si>
  <si>
    <t xml:space="preserve">12:30</t>
  </si>
  <si>
    <t xml:space="preserve">N01·6</t>
  </si>
  <si>
    <t xml:space="preserve">55173</t>
  </si>
  <si>
    <t xml:space="preserve">Cajas Paucar Jose Luis</t>
  </si>
  <si>
    <t xml:space="preserve">Calle 24 de mayo, 030150 AZOGUES, Cañar, Ecuador</t>
  </si>
  <si>
    <t xml:space="preserve">12:55</t>
  </si>
  <si>
    <t xml:space="preserve">N01·7</t>
  </si>
  <si>
    <t xml:space="preserve">55369</t>
  </si>
  <si>
    <t xml:space="preserve">Bermejo Perez Maria Rocio</t>
  </si>
  <si>
    <t xml:space="preserve">Avda Jose Peralta, 0301 AZOGUES, Cañar, Ecuador</t>
  </si>
  <si>
    <t xml:space="preserve">13:15</t>
  </si>
  <si>
    <t xml:space="preserve">N01·8</t>
  </si>
  <si>
    <t xml:space="preserve">55549</t>
  </si>
  <si>
    <t xml:space="preserve">Leon Gonzalez Juan Guillermo</t>
  </si>
  <si>
    <t xml:space="preserve">Azogues, Sector Ingaloma, Biblian, Canar, Ecuador</t>
  </si>
  <si>
    <t xml:space="preserve">14:15</t>
  </si>
  <si>
    <t xml:space="preserve">N02·1</t>
  </si>
  <si>
    <t xml:space="preserve">N02</t>
  </si>
  <si>
    <t xml:space="preserve">15:50</t>
  </si>
  <si>
    <t xml:space="preserve">N02·2</t>
  </si>
  <si>
    <t xml:space="preserve">55419</t>
  </si>
  <si>
    <t xml:space="preserve">Segarra Chicay Jose Abrahan</t>
  </si>
  <si>
    <t xml:space="preserve">Turuhuiaco 6-14 Enrique Espin, 010105 CUENCA, Azuay, Ecuador</t>
  </si>
  <si>
    <t xml:space="preserve">CUENCA</t>
  </si>
  <si>
    <t xml:space="preserve">Tcnlg. Leydi Zambrano</t>
  </si>
  <si>
    <t xml:space="preserve">16:25</t>
  </si>
  <si>
    <t xml:space="preserve">N02·3</t>
  </si>
  <si>
    <t xml:space="preserve">17:00</t>
  </si>
  <si>
    <t xml:space="preserve">N03·1</t>
  </si>
  <si>
    <t xml:space="preserve">N03</t>
  </si>
  <si>
    <t xml:space="preserve">JORGE VILLA</t>
  </si>
  <si>
    <t xml:space="preserve">55524</t>
  </si>
  <si>
    <t xml:space="preserve">Meneses Torres Oscar Leonardo</t>
  </si>
  <si>
    <t xml:space="preserve">Av.Luis Monsalve Pozo, , Azogues, Canar, Ecuador</t>
  </si>
  <si>
    <t xml:space="preserve">09:00</t>
  </si>
  <si>
    <t xml:space="preserve">N03·2</t>
  </si>
  <si>
    <t xml:space="preserve">54949</t>
  </si>
  <si>
    <t xml:space="preserve">Mim Construferreteria E Importadora S.A.S</t>
  </si>
  <si>
    <t xml:space="preserve">Calle De Las Orquideas -Sector El Vergel A Pocos Metros Del Mercado Norte, Cañar, Canar, Ecuador</t>
  </si>
  <si>
    <t xml:space="preserve">10:40</t>
  </si>
  <si>
    <t xml:space="preserve">N03·3</t>
  </si>
  <si>
    <t xml:space="preserve">55493</t>
  </si>
  <si>
    <t xml:space="preserve">Bustamante Bravo Ignacio Alejandro</t>
  </si>
  <si>
    <t xml:space="preserve">Panamericana 0-24 Y 24 De Mayo - Cañar, Cañar, Canar, Ecuador</t>
  </si>
  <si>
    <t xml:space="preserve">11:20</t>
  </si>
  <si>
    <t xml:space="preserve">N03·4</t>
  </si>
  <si>
    <t xml:space="preserve">55299</t>
  </si>
  <si>
    <t xml:space="preserve">Palchizaca Pinguil Segundo Buenaventura</t>
  </si>
  <si>
    <t xml:space="preserve">Sector Nashun, A 2 Cuadras Iglesia - Tambo, El Tambo, Canar, Ecuador</t>
  </si>
  <si>
    <t xml:space="preserve">N03·5</t>
  </si>
  <si>
    <t xml:space="preserve">55376</t>
  </si>
  <si>
    <t xml:space="preserve">Tenezaca Yupa Maria Transito</t>
  </si>
  <si>
    <t xml:space="preserve">Juan Jaramillo Y S/N Jto Estacion - Tambo, El Tambo, Canar, Ecuador</t>
  </si>
  <si>
    <t xml:space="preserve">|</t>
  </si>
  <si>
    <t xml:space="preserve">14:00</t>
  </si>
  <si>
    <t xml:space="preserve">55315</t>
  </si>
  <si>
    <t xml:space="preserve">N03·6</t>
  </si>
  <si>
    <t xml:space="preserve">55510</t>
  </si>
  <si>
    <t xml:space="preserve">Lema Espinoza Manuel Maria</t>
  </si>
  <si>
    <t xml:space="preserve">Panamericana Norte,Centro De Zhud, Cañar, Canar, Ecuador</t>
  </si>
  <si>
    <t xml:space="preserve">15:25</t>
  </si>
  <si>
    <t xml:space="preserve">N04·1</t>
  </si>
  <si>
    <t xml:space="preserve">N04</t>
  </si>
  <si>
    <t xml:space="preserve">JOSE MONTAÑO</t>
  </si>
  <si>
    <t xml:space="preserve">55458</t>
  </si>
  <si>
    <t xml:space="preserve">Distribuidora Vasquez Ordoñez Distrivaso</t>
  </si>
  <si>
    <t xml:space="preserve">Av. Isauro Rodriguez Y Manabi, Santa Isabel, Azuay, Ecuador</t>
  </si>
  <si>
    <t xml:space="preserve">SUROESTE</t>
  </si>
  <si>
    <t xml:space="preserve">Franklin Parra Bermeo</t>
  </si>
  <si>
    <t xml:space="preserve">55221</t>
  </si>
  <si>
    <t xml:space="preserve">55416</t>
  </si>
  <si>
    <t xml:space="preserve">55457</t>
  </si>
  <si>
    <t xml:space="preserve">15:10</t>
  </si>
  <si>
    <t xml:space="preserve">N04·2</t>
  </si>
  <si>
    <t xml:space="preserve">55240</t>
  </si>
  <si>
    <t xml:space="preserve">Figueroa Portillo Joselito Felipe</t>
  </si>
  <si>
    <t xml:space="preserve">Isauro Rogriguez Subida Al Pueblo, Cuenca, Azuay, Ecuador</t>
  </si>
  <si>
    <t xml:space="preserve">Anita Dután Silva</t>
  </si>
  <si>
    <t xml:space="preserve">13:10</t>
  </si>
  <si>
    <t xml:space="preserve">El campo dirección dice "Cuenca" pero Isauro Rodríguez es Santa Isabel.</t>
  </si>
  <si>
    <t xml:space="preserve">N04·3</t>
  </si>
  <si>
    <t xml:space="preserve">54665</t>
  </si>
  <si>
    <t xml:space="preserve">Beltran Cuesta Linna Vetty De La Esperanza</t>
  </si>
  <si>
    <t xml:space="preserve">Fidel Rosales S/N Y César Castillo - Sta. Isabel, Santa Isabel, Azuay, Ecuador</t>
  </si>
  <si>
    <t xml:space="preserve">Claudio Tacuri</t>
  </si>
  <si>
    <t xml:space="preserve">15:45</t>
  </si>
  <si>
    <t xml:space="preserve">55468</t>
  </si>
  <si>
    <t xml:space="preserve">Construgypsum Cia. Ltda.</t>
  </si>
  <si>
    <t xml:space="preserve">AV. SOLANO 5-49 Y ROBERTO CRESPO, 0101 CUENCA, Azuay, Ecuador</t>
  </si>
  <si>
    <t xml:space="preserve">Lcda. Enlin Martino</t>
  </si>
  <si>
    <t xml:space="preserve">Promoción adosada al pedido de Beltrán Cuesta (Santa Isabel). Dirección registrada: Av. Solano.</t>
  </si>
  <si>
    <t xml:space="preserve">55360</t>
  </si>
  <si>
    <t xml:space="preserve">55336</t>
  </si>
  <si>
    <t xml:space="preserve">16:50</t>
  </si>
  <si>
    <t xml:space="preserve">N04·4</t>
  </si>
  <si>
    <t xml:space="preserve">55575</t>
  </si>
  <si>
    <t xml:space="preserve">Yaguana Mendieta Maria Jose</t>
  </si>
  <si>
    <t xml:space="preserve">BARRIO 5 ESQUINAS Y AV, CANARIBAMBA 2-32 CALLE 9 DE OCTUBRE, 010850 SANTA ISABEL, Azuay, Ecuador</t>
  </si>
  <si>
    <t xml:space="preserve">Lcda. Silvia Montaño C.</t>
  </si>
  <si>
    <t xml:space="preserve">16:20</t>
  </si>
  <si>
    <t xml:space="preserve">55395</t>
  </si>
  <si>
    <t xml:space="preserve">N04·5</t>
  </si>
  <si>
    <t xml:space="preserve">54987</t>
  </si>
  <si>
    <t xml:space="preserve">Yungasaca Armijos Luz Marina</t>
  </si>
  <si>
    <t xml:space="preserve">Av.Rafael Galarza Y 24 De Mayo - Santa Isabel, Santa Isabel, Azuay, Ecuador</t>
  </si>
  <si>
    <t xml:space="preserve">N05·1</t>
  </si>
  <si>
    <t xml:space="preserve">N05</t>
  </si>
  <si>
    <t xml:space="preserve">JUAN FERNANDO SANTOS</t>
  </si>
  <si>
    <t xml:space="preserve">55117</t>
  </si>
  <si>
    <t xml:space="preserve">Padron Andrade Fabian Marcelo</t>
  </si>
  <si>
    <t xml:space="preserve">Sucal, 0303 CAÑAR, Cañar, Ecuador</t>
  </si>
  <si>
    <t xml:space="preserve">N05·2</t>
  </si>
  <si>
    <t xml:space="preserve">55265</t>
  </si>
  <si>
    <t xml:space="preserve">Naranjo Bravo Marcia Beatriz</t>
  </si>
  <si>
    <t xml:space="preserve">Panamericana Norte S/N Y Urb. Joyagshi - Chunchi, Chunchi, Chimborazo, Ecuador</t>
  </si>
  <si>
    <t xml:space="preserve">12:05</t>
  </si>
  <si>
    <t xml:space="preserve">N05·3</t>
  </si>
  <si>
    <t xml:space="preserve">55282</t>
  </si>
  <si>
    <t xml:space="preserve">Ordoñez Santander Jorge Luis</t>
  </si>
  <si>
    <t xml:space="preserve">Miguel Leon Bermeo Y General Cordova A Media Cuadra De La Plaza Sucre, Chunchi, Chimborazo, Ecuador</t>
  </si>
  <si>
    <t xml:space="preserve">55142</t>
  </si>
  <si>
    <t xml:space="preserve">N05·4</t>
  </si>
  <si>
    <t xml:space="preserve">55540</t>
  </si>
  <si>
    <t xml:space="preserve">Puli Quito Fredy Patricio</t>
  </si>
  <si>
    <t xml:space="preserve">Barrio: PACALU ALTO Calle: PANAMERICANA SUR Número: SN Intersección: COLOMBIA Kilómetro: 1, 0602 ALAUSI, Chimborazo, Ecuador</t>
  </si>
  <si>
    <t xml:space="preserve">15:00</t>
  </si>
  <si>
    <t xml:space="preserve">N05·5</t>
  </si>
  <si>
    <t xml:space="preserve">55398</t>
  </si>
  <si>
    <t xml:space="preserve">Villacres Torres Clara Ivon</t>
  </si>
  <si>
    <t xml:space="preserve">Garcia Moreno S/N Chile , Alausi, Chimborazo, Ecuador</t>
  </si>
  <si>
    <t xml:space="preserve">15:30</t>
  </si>
  <si>
    <t xml:space="preserve">55401</t>
  </si>
  <si>
    <t xml:space="preserve">Promoción adosada al pedido de Villacres Torres (Alausí). Dirección registrada: Av. Solano.</t>
  </si>
  <si>
    <t xml:space="preserve">N06·1</t>
  </si>
  <si>
    <t xml:space="preserve">N06</t>
  </si>
  <si>
    <t xml:space="preserve">OSWALDO CARPIO</t>
  </si>
  <si>
    <t xml:space="preserve">55555</t>
  </si>
  <si>
    <t xml:space="preserve">Mendieta Mendieta Narcisa De Jesus.</t>
  </si>
  <si>
    <t xml:space="preserve">Max Uhle 2-27 Y Cesar Vallejo, 010107 Azuay, Ecuador</t>
  </si>
  <si>
    <t xml:space="preserve">08:20</t>
  </si>
  <si>
    <t xml:space="preserve">55532</t>
  </si>
  <si>
    <t xml:space="preserve">N06·2</t>
  </si>
  <si>
    <t xml:space="preserve">55529</t>
  </si>
  <si>
    <t xml:space="preserve">Quilambaqui Sanchez Luis Guillermo</t>
  </si>
  <si>
    <t xml:space="preserve">Guapondelig 1-68 Y Rio Palora, Cuenca, Azuay, Ecuador</t>
  </si>
  <si>
    <t xml:space="preserve">08:55</t>
  </si>
  <si>
    <t xml:space="preserve">N06·3</t>
  </si>
  <si>
    <t xml:space="preserve">55563</t>
  </si>
  <si>
    <t xml:space="preserve">Duran Ochoa Jose Maria</t>
  </si>
  <si>
    <t xml:space="preserve">Mariano Cueva 14-55 Entre Pio Bravo Y R. M. Arizaga, Cuenca, Azuay, Ecuador</t>
  </si>
  <si>
    <t xml:space="preserve">Nataly Encalada M.</t>
  </si>
  <si>
    <t xml:space="preserve">09:20</t>
  </si>
  <si>
    <t xml:space="preserve">N06·4</t>
  </si>
  <si>
    <t xml:space="preserve">55520</t>
  </si>
  <si>
    <t xml:space="preserve">FAICAN CORONEL PAUL</t>
  </si>
  <si>
    <t xml:space="preserve">AV HURTADO DE MENDOZA, 0101 CUENCA, Azuay, Ecuador</t>
  </si>
  <si>
    <t xml:space="preserve">09:50</t>
  </si>
  <si>
    <t xml:space="preserve">N06·5</t>
  </si>
  <si>
    <t xml:space="preserve">55559</t>
  </si>
  <si>
    <t xml:space="preserve">Llivisaca Orellana Jorge Alipio</t>
  </si>
  <si>
    <t xml:space="preserve">Av. España 10-91 y Francisco Pizarro, 010113 CUENCA, Azuay, Ecuador</t>
  </si>
  <si>
    <t xml:space="preserve">10:20</t>
  </si>
  <si>
    <t xml:space="preserve">N06·6</t>
  </si>
  <si>
    <t xml:space="preserve">55556</t>
  </si>
  <si>
    <t xml:space="preserve">Deleg Criollo Karen Estefania</t>
  </si>
  <si>
    <t xml:space="preserve">Bahuanchi S/N a dos Kilometros del parque paccha, 0101 CUENCA, Azuay, Ecuador</t>
  </si>
  <si>
    <t xml:space="preserve">11:00</t>
  </si>
  <si>
    <t xml:space="preserve">N06·7</t>
  </si>
  <si>
    <t xml:space="preserve">55521</t>
  </si>
  <si>
    <t xml:space="preserve">Robles Molina Angel Humberto</t>
  </si>
  <si>
    <t xml:space="preserve">Obispo Checa, Ferreteria R Y M, Centro De Checa, Cuenca, Azuay, Ecuador</t>
  </si>
  <si>
    <t xml:space="preserve">11:45</t>
  </si>
  <si>
    <t xml:space="preserve">N07·1</t>
  </si>
  <si>
    <t xml:space="preserve">N07</t>
  </si>
  <si>
    <t xml:space="preserve">55547</t>
  </si>
  <si>
    <t xml:space="preserve">Gutierrez Yepez Guillermo</t>
  </si>
  <si>
    <t xml:space="preserve">EL BATAN, 0101 CUENCA, Azuay, Ecuador</t>
  </si>
  <si>
    <t xml:space="preserve">N08·1</t>
  </si>
  <si>
    <t xml:space="preserve">N08</t>
  </si>
  <si>
    <t xml:space="preserve">55652</t>
  </si>
  <si>
    <t xml:space="preserve">Jara Dutan Johny Eugenio</t>
  </si>
  <si>
    <t xml:space="preserve">Quito S/N Tulcan A Una Cuadra Del Rendodel De La Empresa Electrica Urb Prensa, Cuenca, Azuay, Ecuador</t>
  </si>
  <si>
    <t xml:space="preserve">16:30</t>
  </si>
  <si>
    <t xml:space="preserve">N08·2</t>
  </si>
  <si>
    <t xml:space="preserve">55560</t>
  </si>
  <si>
    <t xml:space="preserve">Duchitanga Morocho Ronal</t>
  </si>
  <si>
    <t xml:space="preserve">Borrero 5-57, Cuenca, Azuay, Ecuador</t>
  </si>
  <si>
    <t xml:space="preserve">17:10</t>
  </si>
  <si>
    <t xml:space="preserve">N09·1</t>
  </si>
  <si>
    <t xml:space="preserve">N09</t>
  </si>
  <si>
    <t xml:space="preserve">PAUL SALAZAR</t>
  </si>
  <si>
    <t xml:space="preserve">55489</t>
  </si>
  <si>
    <t xml:space="preserve">Idrovo Leon Zaida</t>
  </si>
  <si>
    <t xml:space="preserve">Baños 5-22, 0101 CUENCA, Azuay, Ecuador</t>
  </si>
  <si>
    <t xml:space="preserve">CPA. Jéssica Chuchuca</t>
  </si>
  <si>
    <t xml:space="preserve">08:05</t>
  </si>
  <si>
    <t xml:space="preserve">El pedido pide entregar en Misicata / 1 de Septiembre, no en la dirección registrada (Baños).</t>
  </si>
  <si>
    <t xml:space="preserve">N10·1</t>
  </si>
  <si>
    <t xml:space="preserve">N10</t>
  </si>
  <si>
    <t xml:space="preserve">55522</t>
  </si>
  <si>
    <t xml:space="preserve">Mejia Guiracocha Ana Rocio</t>
  </si>
  <si>
    <t xml:space="preserve">Sinincay Sector El Salado, Cuenca, Azuay, Ecuador</t>
  </si>
  <si>
    <t xml:space="preserve">N10·2</t>
  </si>
  <si>
    <t xml:space="preserve">55564</t>
  </si>
  <si>
    <t xml:space="preserve">Albarracin Peralta Juan Braulio</t>
  </si>
  <si>
    <t xml:space="preserve">El Carmen De Sinincay Jto A La Escuela, Cuenca, Azuay, Ecuador</t>
  </si>
  <si>
    <t xml:space="preserve">N11·1</t>
  </si>
  <si>
    <t xml:space="preserve">N11</t>
  </si>
  <si>
    <t xml:space="preserve">55550</t>
  </si>
  <si>
    <t xml:space="preserve">Rivas Saca Anthony Israel</t>
  </si>
  <si>
    <t xml:space="preserve">Ricaurte, Cuenca, Azuay, Ecuador</t>
  </si>
  <si>
    <t xml:space="preserve">13:00</t>
  </si>
  <si>
    <t xml:space="preserve">N12·1</t>
  </si>
  <si>
    <t xml:space="preserve">N12</t>
  </si>
  <si>
    <t xml:space="preserve">55527</t>
  </si>
  <si>
    <t xml:space="preserve">Narvaez Zhizhpon Luz Diana</t>
  </si>
  <si>
    <t xml:space="preserve">Jaime Roldos Aguilera 2.12 y Del Retorno, 0101 CUENCA, Azuay, Ecuador</t>
  </si>
  <si>
    <t xml:space="preserve">16:10</t>
  </si>
  <si>
    <t xml:space="preserve">N12·2</t>
  </si>
  <si>
    <t xml:space="preserve">55554</t>
  </si>
  <si>
    <t xml:space="preserve">Yanza Saca Wilson Alcivar</t>
  </si>
  <si>
    <t xml:space="preserve">Patamarca Km 8 1/2, 1210 BUENA FE, Los Rios, Ecuador</t>
  </si>
  <si>
    <t xml:space="preserve">16:55</t>
  </si>
  <si>
    <t xml:space="preserve">El código postal dice "1210 Buena Fe, Los Ríos" pero es Patamarca, Cuenca.</t>
  </si>
  <si>
    <t xml:space="preserve">N12·3</t>
  </si>
  <si>
    <t xml:space="preserve">55562</t>
  </si>
  <si>
    <t xml:space="preserve">Guachichulca Mariño Andres Lizardo</t>
  </si>
  <si>
    <t xml:space="preserve">Chiquintad, Cuenca, Azuay, Ecuador</t>
  </si>
  <si>
    <t xml:space="preserve">17:40</t>
  </si>
  <si>
    <t xml:space="preserve">N13·1</t>
  </si>
  <si>
    <t xml:space="preserve">N13</t>
  </si>
  <si>
    <t xml:space="preserve">VINICIO LLIVISACA</t>
  </si>
  <si>
    <t xml:space="preserve">55394</t>
  </si>
  <si>
    <t xml:space="preserve">Arbito Contreras Gerardo</t>
  </si>
  <si>
    <t xml:space="preserve">Miguel Heredia 5-74 Y Gran Colombia, Cuenca, Azuay, Ecuador</t>
  </si>
  <si>
    <t xml:space="preserve">08:50</t>
  </si>
  <si>
    <t xml:space="preserve">N13·2</t>
  </si>
  <si>
    <t xml:space="preserve">55517</t>
  </si>
  <si>
    <t xml:space="preserve">Arguello Arguello Lorena</t>
  </si>
  <si>
    <t xml:space="preserve">Av. De Las Americas 4 - 155 Guagualoma, Cuenca, Azuay, Ecuador</t>
  </si>
  <si>
    <t xml:space="preserve">N13·3</t>
  </si>
  <si>
    <t xml:space="preserve">55518</t>
  </si>
  <si>
    <t xml:space="preserve">Ferreteria Vicuña</t>
  </si>
  <si>
    <t xml:space="preserve">Mariscal La Mar 1-61 Y Manuel Vega, Cuenca, Azuay, Ecuador</t>
  </si>
  <si>
    <t xml:space="preserve">10:00</t>
  </si>
  <si>
    <t xml:space="preserve">N13·4</t>
  </si>
  <si>
    <t xml:space="preserve">55526</t>
  </si>
  <si>
    <t xml:space="preserve">Tuquinahui Coro Jose Guillermo</t>
  </si>
  <si>
    <t xml:space="preserve">Av.Del Tejar Y Pelileo Diag Pap Monsalve, Cuenca, Azuay, Ecuador</t>
  </si>
  <si>
    <t xml:space="preserve">10:50</t>
  </si>
  <si>
    <t xml:space="preserve">N13·5</t>
  </si>
  <si>
    <t xml:space="preserve">55561</t>
  </si>
  <si>
    <t xml:space="preserve">Pacho Velecela Victor Oswaldo</t>
  </si>
  <si>
    <t xml:space="preserve">Via Sayausi, Cuenca, Azuay, Ecuador</t>
  </si>
  <si>
    <t xml:space="preserve">11:30</t>
  </si>
  <si>
    <t xml:space="preserve">N13·6</t>
  </si>
  <si>
    <t xml:space="preserve">55557</t>
  </si>
  <si>
    <t xml:space="preserve">Mora Huiracocha Norma Angelica</t>
  </si>
  <si>
    <t xml:space="preserve">Carlos Arizaga Vega Y Leopoldo Davila Esq, Cuenca, Azuay, Ecuador</t>
  </si>
  <si>
    <t xml:space="preserve">12:10</t>
  </si>
  <si>
    <t xml:space="preserve">N14·1</t>
  </si>
  <si>
    <t xml:space="preserve">N14</t>
  </si>
  <si>
    <t xml:space="preserve">55568</t>
  </si>
  <si>
    <t xml:space="preserve">Fernandez Cabezas Victor Andres</t>
  </si>
  <si>
    <t xml:space="preserve">Calle Guadalajara y 24 de Mayo, 0101 CUENCA, Azuay, Ecuador</t>
  </si>
  <si>
    <t xml:space="preserve">13:25</t>
  </si>
  <si>
    <t xml:space="preserve">N15·1</t>
  </si>
  <si>
    <t xml:space="preserve">N15</t>
  </si>
  <si>
    <t xml:space="preserve">55573</t>
  </si>
  <si>
    <t xml:space="preserve">Bacuilima Cabrera Teresa De Jesus</t>
  </si>
  <si>
    <t xml:space="preserve">Enrique Arízaga Toral S/N Y Januario Palacios, Cuenca, Azuay, Ecuador</t>
  </si>
  <si>
    <t xml:space="preserve">15:40</t>
  </si>
  <si>
    <t xml:space="preserve">N15·2</t>
  </si>
  <si>
    <t xml:space="preserve">55512</t>
  </si>
  <si>
    <t xml:space="preserve">Gallegos Cabrera Angel</t>
  </si>
  <si>
    <t xml:space="preserve">El Valle Sector Corazon De Jesus, Cuenca, Azuay, Ecuador</t>
  </si>
  <si>
    <t xml:space="preserve">Christian Mosquera G.</t>
  </si>
  <si>
    <t xml:space="preserve">CORREDOR</t>
  </si>
  <si>
    <t xml:space="preserve">C01·1</t>
  </si>
  <si>
    <t xml:space="preserve">C01</t>
  </si>
  <si>
    <t xml:space="preserve">Suroeste</t>
  </si>
  <si>
    <t xml:space="preserve">C01·2</t>
  </si>
  <si>
    <t xml:space="preserve">C01·3</t>
  </si>
  <si>
    <t xml:space="preserve">C01·4</t>
  </si>
  <si>
    <t xml:space="preserve">C01·5</t>
  </si>
  <si>
    <t xml:space="preserve">C02·1</t>
  </si>
  <si>
    <t xml:space="preserve">C02</t>
  </si>
  <si>
    <t xml:space="preserve">Norte</t>
  </si>
  <si>
    <t xml:space="preserve">C02·2</t>
  </si>
  <si>
    <t xml:space="preserve">C02·3</t>
  </si>
  <si>
    <t xml:space="preserve">C02·4</t>
  </si>
  <si>
    <t xml:space="preserve">C02·5</t>
  </si>
  <si>
    <t xml:space="preserve">C02·6</t>
  </si>
  <si>
    <t xml:space="preserve">C02·7</t>
  </si>
  <si>
    <t xml:space="preserve">C02·8</t>
  </si>
  <si>
    <t xml:space="preserve">C02·9</t>
  </si>
  <si>
    <t xml:space="preserve">C02·10</t>
  </si>
  <si>
    <t xml:space="preserve">C03·1</t>
  </si>
  <si>
    <t xml:space="preserve">C03</t>
  </si>
  <si>
    <t xml:space="preserve">C03·2</t>
  </si>
  <si>
    <t xml:space="preserve">C03·3</t>
  </si>
  <si>
    <t xml:space="preserve">C03·4</t>
  </si>
  <si>
    <t xml:space="preserve">C03·5</t>
  </si>
  <si>
    <t xml:space="preserve">C03·6</t>
  </si>
  <si>
    <t xml:space="preserve">C03·7</t>
  </si>
  <si>
    <t xml:space="preserve">C03·8</t>
  </si>
  <si>
    <t xml:space="preserve">C03·9</t>
  </si>
  <si>
    <t xml:space="preserve">C04·1</t>
  </si>
  <si>
    <t xml:space="preserve">C04</t>
  </si>
  <si>
    <t xml:space="preserve">Cuenca</t>
  </si>
  <si>
    <t xml:space="preserve">C04·2</t>
  </si>
  <si>
    <t xml:space="preserve">C04·3</t>
  </si>
  <si>
    <t xml:space="preserve">C04·4</t>
  </si>
  <si>
    <t xml:space="preserve">C04·5</t>
  </si>
  <si>
    <t xml:space="preserve">C04·6</t>
  </si>
  <si>
    <t xml:space="preserve">C04·7</t>
  </si>
  <si>
    <t xml:space="preserve">C04·8</t>
  </si>
  <si>
    <t xml:space="preserve">C05·1</t>
  </si>
  <si>
    <t xml:space="preserve">C05</t>
  </si>
  <si>
    <t xml:space="preserve">C05·2</t>
  </si>
  <si>
    <t xml:space="preserve">C05·3</t>
  </si>
  <si>
    <t xml:space="preserve">C05·4</t>
  </si>
  <si>
    <t xml:space="preserve">C05·5</t>
  </si>
  <si>
    <t xml:space="preserve">C05·6</t>
  </si>
  <si>
    <t xml:space="preserve">C05·7</t>
  </si>
  <si>
    <t xml:space="preserve">C05·8</t>
  </si>
  <si>
    <t xml:space="preserve">C06·1</t>
  </si>
  <si>
    <t xml:space="preserve">C06</t>
  </si>
  <si>
    <t xml:space="preserve">C06·2</t>
  </si>
  <si>
    <t xml:space="preserve">C06·3</t>
  </si>
  <si>
    <t xml:space="preserve">C06·4</t>
  </si>
  <si>
    <t xml:space="preserve">C06·5</t>
  </si>
  <si>
    <t xml:space="preserve">C06·6</t>
  </si>
  <si>
    <t xml:space="preserve">C06·7</t>
  </si>
  <si>
    <t xml:space="preserve">C06·8</t>
  </si>
  <si>
    <t xml:space="preserve">C07·1</t>
  </si>
  <si>
    <t xml:space="preserve">C07</t>
  </si>
  <si>
    <t xml:space="preserve">C07·2</t>
  </si>
  <si>
    <t xml:space="preserve">C07·3</t>
  </si>
  <si>
    <t xml:space="preserve">CÓDIGO NUBE</t>
  </si>
  <si>
    <t xml:space="preserve">VIAJE NUBE</t>
  </si>
  <si>
    <t xml:space="preserve">CHOFER (CAMIÓN)</t>
  </si>
  <si>
    <t xml:space="preserve">HORA</t>
  </si>
  <si>
    <t xml:space="preserve">CÓDIGO PROPUESTO</t>
  </si>
  <si>
    <t xml:space="preserve">VIAJE PROPUESTO</t>
  </si>
  <si>
    <t xml:space="preserve">COMPAÑEROS DE CAMIÓN</t>
  </si>
  <si>
    <t xml:space="preserve">SIGUEN JUNTOS</t>
  </si>
  <si>
    <t xml:space="preserve">% COINCIDENCIA</t>
  </si>
  <si>
    <t xml:space="preserve">COMPAÑEROS DE CAMIÓN = cuántos otros outs puso Nube en el mismo camión (mismo chofer, todas sus olas). SIGUEN JUNTOS = cuántos de esos quedaron también en el viaje propuesto de esta fila. % COINCIDENCIA = la razón entre ambos. El promedio de esta columna es 67% sobre el día completo, que es la comparación contra camión del informe. La cifra de 85,5% del informe corresponde a la comparación justa: solo la primera ola, que es lo único que Nube conocía a las 08:00. Las dos miden lo mismo con distinto alcance.</t>
  </si>
  <si>
    <t xml:space="preserve">SOLUCIÓN</t>
  </si>
  <si>
    <t xml:space="preserve">DESCRIPCIÓN</t>
  </si>
  <si>
    <t xml:space="preserve">PARADAS</t>
  </si>
  <si>
    <t xml:space="preserve">OUTS</t>
  </si>
  <si>
    <t xml:space="preserve">KM EST.</t>
  </si>
  <si>
    <t xml:space="preserve">HORAS EST.</t>
  </si>
  <si>
    <t xml:space="preserve">Nube (real)</t>
  </si>
  <si>
    <t xml:space="preserve">CRISTIAN SALTOS · ola 1</t>
  </si>
  <si>
    <t xml:space="preserve">CRISTIAN SALTOS · ola 2</t>
  </si>
  <si>
    <t xml:space="preserve">JORGE VILLA · ola 1</t>
  </si>
  <si>
    <t xml:space="preserve">JOSE MONTAÑO · ola 1</t>
  </si>
  <si>
    <t xml:space="preserve">JUAN FERNANDO SANTOS · ola 1</t>
  </si>
  <si>
    <t xml:space="preserve">OSWALDO CARPIO · ola 1</t>
  </si>
  <si>
    <t xml:space="preserve">OSWALDO CARPIO · ola 2</t>
  </si>
  <si>
    <t xml:space="preserve">OSWALDO CARPIO · ola 3</t>
  </si>
  <si>
    <t xml:space="preserve">PAUL SALAZAR · ola 1</t>
  </si>
  <si>
    <t xml:space="preserve">PAUL SALAZAR · ola 2</t>
  </si>
  <si>
    <t xml:space="preserve">PAUL SALAZAR · ola 3</t>
  </si>
  <si>
    <t xml:space="preserve">PAUL SALAZAR · ola 4</t>
  </si>
  <si>
    <t xml:space="preserve">VINICIO LLIVISACA · ola 1</t>
  </si>
  <si>
    <t xml:space="preserve">VINICIO LLIVISACA · ola 2</t>
  </si>
  <si>
    <t xml:space="preserve">VINICIO LLIVISACA · ola 3</t>
  </si>
  <si>
    <t xml:space="preserve">TOTAL Nube (real)</t>
  </si>
  <si>
    <t xml:space="preserve">Propuesta (algoritmo)</t>
  </si>
  <si>
    <t xml:space="preserve">Viaje C01 · Suroeste</t>
  </si>
  <si>
    <t xml:space="preserve">Viaje C02 · Norte</t>
  </si>
  <si>
    <t xml:space="preserve">Viaje C03 · Norte</t>
  </si>
  <si>
    <t xml:space="preserve">Viaje C04 · Cuenca</t>
  </si>
  <si>
    <t xml:space="preserve">Viaje C05 · Cuenca</t>
  </si>
  <si>
    <t xml:space="preserve">Viaje C06 · Cuenca</t>
  </si>
  <si>
    <t xml:space="preserve">Viaje C07 · Cuenca</t>
  </si>
  <si>
    <t xml:space="preserve">TOTAL Propuesta (algoritmo)</t>
  </si>
  <si>
    <t xml:space="preserve">LEYENDA · Mapa de rutas 17-ago-2026</t>
  </si>
  <si>
    <t xml:space="preserve">Qué es este archivo</t>
  </si>
  <si>
    <t xml:space="preserve">Traduce los números del mapa "mapa_rutas_17ago.html" a clientes concretos. Día evaluado: lunes 17-ago-2026, 62 outs.</t>
  </si>
  <si>
    <t xml:space="preserve">Cómo leer el código</t>
  </si>
  <si>
    <t xml:space="preserve">El código de cada parada es VIAJE·ORDEN. Ej. N04·3 = tercera parada del viaje N04. C02·5 = quinta parada del viaje propuesto C02. Ese mismo código aparece sobre el marcador en el mapa.</t>
  </si>
  <si>
    <t xml:space="preserve">Viajes N01–N15</t>
  </si>
  <si>
    <t xml:space="preserve">La ruta REAL que armó Nube el 17-ago. Un viaje = un chofer en una ola. Varios choferes hicieron 2, 3 o 4 salidas en el día; cada salida es un viaje distinto.</t>
  </si>
  <si>
    <t xml:space="preserve">Viajes C01–C07</t>
  </si>
  <si>
    <t xml:space="preserve">La ruta PROPUESTA por el algoritmo, generada sin mirar el chofer, la hora ni el orden de Nube. Solo usó out, cliente, dirección y texto del pedido.</t>
  </si>
  <si>
    <t xml:space="preserve">Color de zona</t>
  </si>
  <si>
    <t xml:space="preserve">Azul = Cuenca y periferia · Naranja = Corredor Norte (Azogues → Alausí) · Verde = Suroeste (Santa Isabel).</t>
  </si>
  <si>
    <t xml:space="preserve">Columna ¿MISMO GRUPO?</t>
  </si>
  <si>
    <t xml:space="preserve">"idéntico" = todos los outs que Nube puso en ese camión quedaron también en un solo viaje propuesto. "parcial" = el algoritmo los repartió distinto.</t>
  </si>
  <si>
    <t xml:space="preserve">Notas en ámbar</t>
  </si>
  <si>
    <t xml:space="preserve">Casos donde el archivo dice una cosa y la realidad es otra: promociones adosadas a otro pedido, cantón mal cargado, código postal equivocado. Son los casos donde Nube corrige de cabeza.</t>
  </si>
  <si>
    <t xml:space="preserve">LAT / LON</t>
  </si>
  <si>
    <t xml:space="preserve">Coordenadas APROXIMADAS asignadas a mano a nivel de calle, barrio o cabecera cantonal. NO son geocodificación. Sirven para ubicar y comparar, no para navegar. Si corriges una, corrígela también en el mapa.</t>
  </si>
  <si>
    <t xml:space="preserve">KM y HORAS</t>
  </si>
  <si>
    <t xml:space="preserve">Estimación: distancia en línea recta × 1.35, a 28 km/h en zona urbana y 55–60 km/h en carretera, más 20 min de descarga por parada. Orden de magnitud, no ruta real.</t>
  </si>
  <si>
    <t xml:space="preserve">Origen</t>
  </si>
  <si>
    <t xml:space="preserve">Todos los viajes salen y retornan a la bodega de Challuabamba.</t>
  </si>
  <si>
    <t xml:space="preserve">Fuente</t>
  </si>
  <si>
    <t xml:space="preserve">Construgypsum Ruta de Despacho.xlsx, hoja "rutas" (65 líneas / 62 outs). Preparado 18-ago-2026.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</si>
</sst>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General"/>
    <numFmt numFmtId="167" formatCode="0%"/>
    <numFmt numFmtId="168" formatCode="#,##0"/>
    <numFmt numFmtId="169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9A6B1F"/>
      <name val="Arial"/>
      <family val="0"/>
      <charset val="1"/>
    </font>
    <font>
      <sz val="9"/>
      <color rgb="FF6B6B6B"/>
      <name val="Arial"/>
      <family val="0"/>
      <charset val="1"/>
    </font>
    <font>
      <b val="true"/>
      <sz val="1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2F2E"/>
        <bgColor rgb="FF333300"/>
      </patternFill>
    </fill>
    <fill>
      <patternFill patternType="solid">
        <fgColor rgb="FFFBE1D5"/>
        <bgColor rgb="FFDDDDDD"/>
      </patternFill>
    </fill>
    <fill>
      <patternFill patternType="solid">
        <fgColor rgb="FFDCE9F9"/>
        <bgColor rgb="FFD6F0E5"/>
      </patternFill>
    </fill>
    <fill>
      <patternFill patternType="solid">
        <fgColor rgb="FFD6F0E5"/>
        <bgColor rgb="FFDCE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B1F"/>
      <rgbColor rgb="FF800080"/>
      <rgbColor rgb="FF008080"/>
      <rgbColor rgb="FFC0C0C0"/>
      <rgbColor rgb="FF808080"/>
      <rgbColor rgb="FF9999FF"/>
      <rgbColor rgb="FF993366"/>
      <rgbColor rgb="FFFBE1D5"/>
      <rgbColor rgb="FFDCE9F9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0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2F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6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32"/>
    <col collapsed="false" customWidth="true" hidden="false" outlineLevel="0" max="8" min="8" style="0" width="46"/>
    <col collapsed="false" customWidth="true" hidden="false" outlineLevel="0" max="9" min="9" style="0" width="11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3" min="12" style="0" width="10"/>
    <col collapsed="false" customWidth="true" hidden="false" outlineLevel="0" max="14" min="14" style="0" width="5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s">
        <v>15</v>
      </c>
      <c r="C2" s="3" t="s">
        <v>16</v>
      </c>
      <c r="D2" s="3" t="n">
        <v>1</v>
      </c>
      <c r="E2" s="3" t="n">
        <v>1</v>
      </c>
      <c r="F2" s="3" t="s">
        <v>17</v>
      </c>
      <c r="G2" s="3" t="s">
        <v>18</v>
      </c>
      <c r="H2" s="3" t="s">
        <v>19</v>
      </c>
      <c r="I2" s="4" t="s">
        <v>20</v>
      </c>
      <c r="J2" s="3" t="s">
        <v>21</v>
      </c>
      <c r="K2" s="3" t="s">
        <v>22</v>
      </c>
      <c r="L2" s="5" t="n">
        <v>-2.783</v>
      </c>
      <c r="M2" s="5" t="n">
        <v>-78.86</v>
      </c>
      <c r="N2" s="3"/>
    </row>
    <row r="3" customFormat="false" ht="15" hidden="false" customHeight="false" outlineLevel="0" collapsed="false">
      <c r="A3" s="2" t="s">
        <v>23</v>
      </c>
      <c r="B3" s="3" t="s">
        <v>15</v>
      </c>
      <c r="C3" s="3" t="s">
        <v>16</v>
      </c>
      <c r="D3" s="3" t="n">
        <v>1</v>
      </c>
      <c r="E3" s="3" t="n">
        <v>2</v>
      </c>
      <c r="F3" s="3" t="s">
        <v>24</v>
      </c>
      <c r="G3" s="3" t="s">
        <v>25</v>
      </c>
      <c r="H3" s="3" t="s">
        <v>26</v>
      </c>
      <c r="I3" s="4" t="s">
        <v>20</v>
      </c>
      <c r="J3" s="3" t="s">
        <v>21</v>
      </c>
      <c r="K3" s="3" t="s">
        <v>27</v>
      </c>
      <c r="L3" s="5" t="n">
        <v>-2.7435</v>
      </c>
      <c r="M3" s="5" t="n">
        <v>-78.8492</v>
      </c>
      <c r="N3" s="3"/>
    </row>
    <row r="4" customFormat="false" ht="15" hidden="false" customHeight="false" outlineLevel="0" collapsed="false">
      <c r="A4" s="2" t="s">
        <v>28</v>
      </c>
      <c r="B4" s="3" t="s">
        <v>15</v>
      </c>
      <c r="C4" s="3" t="s">
        <v>16</v>
      </c>
      <c r="D4" s="3" t="n">
        <v>1</v>
      </c>
      <c r="E4" s="3" t="n">
        <v>3</v>
      </c>
      <c r="F4" s="3" t="s">
        <v>29</v>
      </c>
      <c r="G4" s="3" t="s">
        <v>30</v>
      </c>
      <c r="H4" s="3" t="s">
        <v>31</v>
      </c>
      <c r="I4" s="4" t="s">
        <v>20</v>
      </c>
      <c r="J4" s="3" t="s">
        <v>21</v>
      </c>
      <c r="K4" s="3" t="s">
        <v>32</v>
      </c>
      <c r="L4" s="5" t="n">
        <v>-2.7448</v>
      </c>
      <c r="M4" s="5" t="n">
        <v>-78.8496</v>
      </c>
      <c r="N4" s="3"/>
    </row>
    <row r="5" customFormat="false" ht="15" hidden="false" customHeight="false" outlineLevel="0" collapsed="false">
      <c r="A5" s="2" t="s">
        <v>33</v>
      </c>
      <c r="B5" s="3" t="s">
        <v>15</v>
      </c>
      <c r="C5" s="3" t="s">
        <v>16</v>
      </c>
      <c r="D5" s="3" t="n">
        <v>1</v>
      </c>
      <c r="E5" s="3" t="n">
        <v>4</v>
      </c>
      <c r="F5" s="3" t="s">
        <v>34</v>
      </c>
      <c r="G5" s="3" t="s">
        <v>35</v>
      </c>
      <c r="H5" s="3" t="s">
        <v>36</v>
      </c>
      <c r="I5" s="4" t="s">
        <v>20</v>
      </c>
      <c r="J5" s="3" t="s">
        <v>21</v>
      </c>
      <c r="K5" s="3" t="s">
        <v>37</v>
      </c>
      <c r="L5" s="5" t="n">
        <v>-2.733</v>
      </c>
      <c r="M5" s="5" t="n">
        <v>-78.8455</v>
      </c>
      <c r="N5" s="3"/>
    </row>
    <row r="6" customFormat="false" ht="15" hidden="false" customHeight="false" outlineLevel="0" collapsed="false">
      <c r="A6" s="2" t="s">
        <v>38</v>
      </c>
      <c r="B6" s="3" t="s">
        <v>15</v>
      </c>
      <c r="C6" s="3" t="s">
        <v>16</v>
      </c>
      <c r="D6" s="3" t="n">
        <v>1</v>
      </c>
      <c r="E6" s="3" t="n">
        <v>5</v>
      </c>
      <c r="F6" s="3" t="s">
        <v>39</v>
      </c>
      <c r="G6" s="3" t="s">
        <v>40</v>
      </c>
      <c r="H6" s="3" t="s">
        <v>41</v>
      </c>
      <c r="I6" s="4" t="s">
        <v>20</v>
      </c>
      <c r="J6" s="3" t="s">
        <v>42</v>
      </c>
      <c r="K6" s="3" t="s">
        <v>43</v>
      </c>
      <c r="L6" s="5" t="n">
        <v>-2.75</v>
      </c>
      <c r="M6" s="5" t="n">
        <v>-78.853</v>
      </c>
      <c r="N6" s="3"/>
    </row>
    <row r="7" customFormat="false" ht="15" hidden="false" customHeight="false" outlineLevel="0" collapsed="false">
      <c r="A7" s="2" t="s">
        <v>44</v>
      </c>
      <c r="B7" s="3" t="s">
        <v>15</v>
      </c>
      <c r="C7" s="3" t="s">
        <v>16</v>
      </c>
      <c r="D7" s="3" t="n">
        <v>1</v>
      </c>
      <c r="E7" s="3" t="n">
        <v>6</v>
      </c>
      <c r="F7" s="3" t="s">
        <v>45</v>
      </c>
      <c r="G7" s="3" t="s">
        <v>46</v>
      </c>
      <c r="H7" s="3" t="s">
        <v>47</v>
      </c>
      <c r="I7" s="4" t="s">
        <v>20</v>
      </c>
      <c r="J7" s="3" t="s">
        <v>21</v>
      </c>
      <c r="K7" s="3" t="s">
        <v>48</v>
      </c>
      <c r="L7" s="5" t="n">
        <v>-2.7375</v>
      </c>
      <c r="M7" s="5" t="n">
        <v>-78.847</v>
      </c>
      <c r="N7" s="3"/>
    </row>
    <row r="8" customFormat="false" ht="15" hidden="false" customHeight="false" outlineLevel="0" collapsed="false">
      <c r="A8" s="2" t="s">
        <v>49</v>
      </c>
      <c r="B8" s="3" t="s">
        <v>15</v>
      </c>
      <c r="C8" s="3" t="s">
        <v>16</v>
      </c>
      <c r="D8" s="3" t="n">
        <v>1</v>
      </c>
      <c r="E8" s="3" t="n">
        <v>7</v>
      </c>
      <c r="F8" s="3" t="s">
        <v>50</v>
      </c>
      <c r="G8" s="3" t="s">
        <v>51</v>
      </c>
      <c r="H8" s="3" t="s">
        <v>52</v>
      </c>
      <c r="I8" s="4" t="s">
        <v>20</v>
      </c>
      <c r="J8" s="3" t="s">
        <v>42</v>
      </c>
      <c r="K8" s="3" t="s">
        <v>53</v>
      </c>
      <c r="L8" s="5" t="n">
        <v>-2.7415</v>
      </c>
      <c r="M8" s="5" t="n">
        <v>-78.844</v>
      </c>
      <c r="N8" s="3"/>
    </row>
    <row r="9" customFormat="false" ht="15" hidden="false" customHeight="false" outlineLevel="0" collapsed="false">
      <c r="A9" s="2" t="s">
        <v>54</v>
      </c>
      <c r="B9" s="3" t="s">
        <v>15</v>
      </c>
      <c r="C9" s="3" t="s">
        <v>16</v>
      </c>
      <c r="D9" s="3" t="n">
        <v>1</v>
      </c>
      <c r="E9" s="3" t="n">
        <v>8</v>
      </c>
      <c r="F9" s="3" t="s">
        <v>55</v>
      </c>
      <c r="G9" s="3" t="s">
        <v>56</v>
      </c>
      <c r="H9" s="3" t="s">
        <v>57</v>
      </c>
      <c r="I9" s="4" t="s">
        <v>20</v>
      </c>
      <c r="J9" s="3" t="s">
        <v>21</v>
      </c>
      <c r="K9" s="3" t="s">
        <v>58</v>
      </c>
      <c r="L9" s="5" t="n">
        <v>-2.718</v>
      </c>
      <c r="M9" s="5" t="n">
        <v>-78.885</v>
      </c>
      <c r="N9" s="3"/>
    </row>
    <row r="10" customFormat="false" ht="15" hidden="false" customHeight="false" outlineLevel="0" collapsed="false">
      <c r="A10" s="2" t="s">
        <v>59</v>
      </c>
      <c r="B10" s="3" t="s">
        <v>60</v>
      </c>
      <c r="C10" s="3" t="s">
        <v>16</v>
      </c>
      <c r="D10" s="3" t="n">
        <v>2</v>
      </c>
      <c r="E10" s="3" t="n">
        <v>1</v>
      </c>
      <c r="F10" s="3" t="s">
        <v>55</v>
      </c>
      <c r="G10" s="3" t="s">
        <v>56</v>
      </c>
      <c r="H10" s="3" t="s">
        <v>57</v>
      </c>
      <c r="I10" s="4" t="s">
        <v>20</v>
      </c>
      <c r="J10" s="3" t="s">
        <v>21</v>
      </c>
      <c r="K10" s="3" t="s">
        <v>61</v>
      </c>
      <c r="L10" s="5" t="n">
        <v>-2.718</v>
      </c>
      <c r="M10" s="5" t="n">
        <v>-78.885</v>
      </c>
      <c r="N10" s="3"/>
    </row>
    <row r="11" customFormat="false" ht="15" hidden="false" customHeight="false" outlineLevel="0" collapsed="false">
      <c r="A11" s="6" t="s">
        <v>62</v>
      </c>
      <c r="B11" s="3" t="s">
        <v>60</v>
      </c>
      <c r="C11" s="3" t="s">
        <v>16</v>
      </c>
      <c r="D11" s="3" t="n">
        <v>2</v>
      </c>
      <c r="E11" s="3" t="n">
        <v>2</v>
      </c>
      <c r="F11" s="3" t="s">
        <v>63</v>
      </c>
      <c r="G11" s="3" t="s">
        <v>64</v>
      </c>
      <c r="H11" s="3" t="s">
        <v>65</v>
      </c>
      <c r="I11" s="7" t="s">
        <v>66</v>
      </c>
      <c r="J11" s="3" t="s">
        <v>67</v>
      </c>
      <c r="K11" s="3" t="s">
        <v>68</v>
      </c>
      <c r="L11" s="5" t="n">
        <v>-2.908</v>
      </c>
      <c r="M11" s="5" t="n">
        <v>-79</v>
      </c>
      <c r="N11" s="3"/>
    </row>
    <row r="12" customFormat="false" ht="15" hidden="false" customHeight="false" outlineLevel="0" collapsed="false">
      <c r="A12" s="2" t="s">
        <v>69</v>
      </c>
      <c r="B12" s="3" t="s">
        <v>60</v>
      </c>
      <c r="C12" s="3" t="s">
        <v>16</v>
      </c>
      <c r="D12" s="3" t="n">
        <v>2</v>
      </c>
      <c r="E12" s="3" t="n">
        <v>3</v>
      </c>
      <c r="F12" s="3" t="s">
        <v>29</v>
      </c>
      <c r="G12" s="3" t="s">
        <v>30</v>
      </c>
      <c r="H12" s="3" t="s">
        <v>31</v>
      </c>
      <c r="I12" s="4" t="s">
        <v>20</v>
      </c>
      <c r="J12" s="3" t="s">
        <v>21</v>
      </c>
      <c r="K12" s="3" t="s">
        <v>70</v>
      </c>
      <c r="L12" s="5" t="n">
        <v>-2.7448</v>
      </c>
      <c r="M12" s="5" t="n">
        <v>-78.8496</v>
      </c>
      <c r="N12" s="3"/>
    </row>
    <row r="13" customFormat="false" ht="15" hidden="false" customHeight="false" outlineLevel="0" collapsed="false">
      <c r="A13" s="2" t="s">
        <v>71</v>
      </c>
      <c r="B13" s="3" t="s">
        <v>72</v>
      </c>
      <c r="C13" s="3" t="s">
        <v>73</v>
      </c>
      <c r="D13" s="3" t="n">
        <v>1</v>
      </c>
      <c r="E13" s="3" t="n">
        <v>1</v>
      </c>
      <c r="F13" s="3" t="s">
        <v>74</v>
      </c>
      <c r="G13" s="3" t="s">
        <v>75</v>
      </c>
      <c r="H13" s="3" t="s">
        <v>76</v>
      </c>
      <c r="I13" s="4" t="s">
        <v>20</v>
      </c>
      <c r="J13" s="3" t="s">
        <v>21</v>
      </c>
      <c r="K13" s="3" t="s">
        <v>77</v>
      </c>
      <c r="L13" s="5" t="n">
        <v>-2.746</v>
      </c>
      <c r="M13" s="5" t="n">
        <v>-78.85</v>
      </c>
      <c r="N13" s="3"/>
    </row>
    <row r="14" customFormat="false" ht="15" hidden="false" customHeight="false" outlineLevel="0" collapsed="false">
      <c r="A14" s="2" t="s">
        <v>78</v>
      </c>
      <c r="B14" s="3" t="s">
        <v>72</v>
      </c>
      <c r="C14" s="3" t="s">
        <v>73</v>
      </c>
      <c r="D14" s="3" t="n">
        <v>1</v>
      </c>
      <c r="E14" s="3" t="n">
        <v>2</v>
      </c>
      <c r="F14" s="3" t="s">
        <v>79</v>
      </c>
      <c r="G14" s="3" t="s">
        <v>80</v>
      </c>
      <c r="H14" s="3" t="s">
        <v>81</v>
      </c>
      <c r="I14" s="4" t="s">
        <v>20</v>
      </c>
      <c r="J14" s="3" t="s">
        <v>21</v>
      </c>
      <c r="K14" s="3" t="s">
        <v>82</v>
      </c>
      <c r="L14" s="5" t="n">
        <v>-2.5525</v>
      </c>
      <c r="M14" s="5" t="n">
        <v>-78.937</v>
      </c>
      <c r="N14" s="3"/>
    </row>
    <row r="15" customFormat="false" ht="15" hidden="false" customHeight="false" outlineLevel="0" collapsed="false">
      <c r="A15" s="2" t="s">
        <v>83</v>
      </c>
      <c r="B15" s="3" t="s">
        <v>72</v>
      </c>
      <c r="C15" s="3" t="s">
        <v>73</v>
      </c>
      <c r="D15" s="3" t="n">
        <v>1</v>
      </c>
      <c r="E15" s="3" t="n">
        <v>3</v>
      </c>
      <c r="F15" s="3" t="s">
        <v>84</v>
      </c>
      <c r="G15" s="3" t="s">
        <v>85</v>
      </c>
      <c r="H15" s="3" t="s">
        <v>86</v>
      </c>
      <c r="I15" s="4" t="s">
        <v>20</v>
      </c>
      <c r="J15" s="3" t="s">
        <v>21</v>
      </c>
      <c r="K15" s="3" t="s">
        <v>87</v>
      </c>
      <c r="L15" s="5" t="n">
        <v>-2.559</v>
      </c>
      <c r="M15" s="5" t="n">
        <v>-78.94</v>
      </c>
      <c r="N15" s="3"/>
    </row>
    <row r="16" customFormat="false" ht="15" hidden="false" customHeight="false" outlineLevel="0" collapsed="false">
      <c r="A16" s="2" t="s">
        <v>88</v>
      </c>
      <c r="B16" s="3" t="s">
        <v>72</v>
      </c>
      <c r="C16" s="3" t="s">
        <v>73</v>
      </c>
      <c r="D16" s="3" t="n">
        <v>1</v>
      </c>
      <c r="E16" s="3" t="n">
        <v>4</v>
      </c>
      <c r="F16" s="3" t="s">
        <v>89</v>
      </c>
      <c r="G16" s="3" t="s">
        <v>90</v>
      </c>
      <c r="H16" s="3" t="s">
        <v>91</v>
      </c>
      <c r="I16" s="4" t="s">
        <v>20</v>
      </c>
      <c r="J16" s="3" t="s">
        <v>21</v>
      </c>
      <c r="K16" s="3" t="s">
        <v>43</v>
      </c>
      <c r="L16" s="5" t="n">
        <v>-2.513</v>
      </c>
      <c r="M16" s="5" t="n">
        <v>-78.9185</v>
      </c>
      <c r="N16" s="3"/>
    </row>
    <row r="17" customFormat="false" ht="15" hidden="false" customHeight="false" outlineLevel="0" collapsed="false">
      <c r="A17" s="2" t="s">
        <v>92</v>
      </c>
      <c r="B17" s="3" t="s">
        <v>72</v>
      </c>
      <c r="C17" s="3" t="s">
        <v>73</v>
      </c>
      <c r="D17" s="3" t="n">
        <v>1</v>
      </c>
      <c r="E17" s="3" t="n">
        <v>5</v>
      </c>
      <c r="F17" s="3" t="s">
        <v>93</v>
      </c>
      <c r="G17" s="3" t="s">
        <v>94</v>
      </c>
      <c r="H17" s="3" t="s">
        <v>95</v>
      </c>
      <c r="I17" s="4" t="s">
        <v>20</v>
      </c>
      <c r="J17" s="3" t="s">
        <v>96</v>
      </c>
      <c r="K17" s="3" t="s">
        <v>97</v>
      </c>
      <c r="L17" s="5" t="n">
        <v>-2.5085</v>
      </c>
      <c r="M17" s="5" t="n">
        <v>-78.915</v>
      </c>
      <c r="N17" s="3"/>
    </row>
    <row r="18" customFormat="false" ht="15" hidden="false" customHeight="false" outlineLevel="0" collapsed="false">
      <c r="A18" s="2" t="s">
        <v>92</v>
      </c>
      <c r="B18" s="3" t="s">
        <v>72</v>
      </c>
      <c r="C18" s="3" t="s">
        <v>73</v>
      </c>
      <c r="D18" s="3" t="n">
        <v>1</v>
      </c>
      <c r="E18" s="3" t="n">
        <v>5</v>
      </c>
      <c r="F18" s="3" t="s">
        <v>98</v>
      </c>
      <c r="G18" s="3" t="s">
        <v>94</v>
      </c>
      <c r="H18" s="3" t="s">
        <v>95</v>
      </c>
      <c r="I18" s="4" t="s">
        <v>20</v>
      </c>
      <c r="J18" s="3" t="s">
        <v>21</v>
      </c>
      <c r="K18" s="3" t="s">
        <v>97</v>
      </c>
      <c r="L18" s="5" t="n">
        <v>-2.5085</v>
      </c>
      <c r="M18" s="5" t="n">
        <v>-78.915</v>
      </c>
      <c r="N18" s="3"/>
    </row>
    <row r="19" customFormat="false" ht="15" hidden="false" customHeight="false" outlineLevel="0" collapsed="false">
      <c r="A19" s="2" t="s">
        <v>99</v>
      </c>
      <c r="B19" s="3" t="s">
        <v>72</v>
      </c>
      <c r="C19" s="3" t="s">
        <v>73</v>
      </c>
      <c r="D19" s="3" t="n">
        <v>1</v>
      </c>
      <c r="E19" s="3" t="n">
        <v>6</v>
      </c>
      <c r="F19" s="3" t="s">
        <v>100</v>
      </c>
      <c r="G19" s="3" t="s">
        <v>101</v>
      </c>
      <c r="H19" s="3" t="s">
        <v>102</v>
      </c>
      <c r="I19" s="4" t="s">
        <v>20</v>
      </c>
      <c r="J19" s="3" t="s">
        <v>21</v>
      </c>
      <c r="K19" s="3" t="s">
        <v>103</v>
      </c>
      <c r="L19" s="5" t="n">
        <v>-2.398</v>
      </c>
      <c r="M19" s="5" t="n">
        <v>-78.97</v>
      </c>
      <c r="N19" s="3"/>
    </row>
    <row r="20" customFormat="false" ht="15" hidden="false" customHeight="false" outlineLevel="0" collapsed="false">
      <c r="A20" s="8" t="s">
        <v>104</v>
      </c>
      <c r="B20" s="3" t="s">
        <v>105</v>
      </c>
      <c r="C20" s="3" t="s">
        <v>106</v>
      </c>
      <c r="D20" s="3" t="n">
        <v>1</v>
      </c>
      <c r="E20" s="3" t="n">
        <v>1</v>
      </c>
      <c r="F20" s="3" t="s">
        <v>107</v>
      </c>
      <c r="G20" s="3" t="s">
        <v>108</v>
      </c>
      <c r="H20" s="3" t="s">
        <v>109</v>
      </c>
      <c r="I20" s="9" t="s">
        <v>110</v>
      </c>
      <c r="J20" s="3" t="s">
        <v>111</v>
      </c>
      <c r="K20" s="3" t="s">
        <v>37</v>
      </c>
      <c r="L20" s="5" t="n">
        <v>-3.2705</v>
      </c>
      <c r="M20" s="5" t="n">
        <v>-79.3125</v>
      </c>
      <c r="N20" s="3"/>
    </row>
    <row r="21" customFormat="false" ht="15" hidden="false" customHeight="false" outlineLevel="0" collapsed="false">
      <c r="A21" s="8" t="s">
        <v>104</v>
      </c>
      <c r="B21" s="3" t="s">
        <v>105</v>
      </c>
      <c r="C21" s="3" t="s">
        <v>106</v>
      </c>
      <c r="D21" s="3" t="n">
        <v>1</v>
      </c>
      <c r="E21" s="3" t="n">
        <v>1</v>
      </c>
      <c r="F21" s="3" t="s">
        <v>112</v>
      </c>
      <c r="G21" s="3" t="s">
        <v>108</v>
      </c>
      <c r="H21" s="3" t="s">
        <v>109</v>
      </c>
      <c r="I21" s="9" t="s">
        <v>110</v>
      </c>
      <c r="J21" s="3" t="s">
        <v>111</v>
      </c>
      <c r="K21" s="3" t="s">
        <v>37</v>
      </c>
      <c r="L21" s="5" t="n">
        <v>-3.2705</v>
      </c>
      <c r="M21" s="5" t="n">
        <v>-79.3125</v>
      </c>
      <c r="N21" s="3"/>
    </row>
    <row r="22" customFormat="false" ht="15" hidden="false" customHeight="false" outlineLevel="0" collapsed="false">
      <c r="A22" s="8" t="s">
        <v>104</v>
      </c>
      <c r="B22" s="3" t="s">
        <v>105</v>
      </c>
      <c r="C22" s="3" t="s">
        <v>106</v>
      </c>
      <c r="D22" s="3" t="n">
        <v>1</v>
      </c>
      <c r="E22" s="3" t="n">
        <v>1</v>
      </c>
      <c r="F22" s="3" t="s">
        <v>113</v>
      </c>
      <c r="G22" s="3" t="s">
        <v>108</v>
      </c>
      <c r="H22" s="3" t="s">
        <v>109</v>
      </c>
      <c r="I22" s="9" t="s">
        <v>110</v>
      </c>
      <c r="J22" s="3" t="s">
        <v>111</v>
      </c>
      <c r="K22" s="3" t="s">
        <v>97</v>
      </c>
      <c r="L22" s="5" t="n">
        <v>-3.2705</v>
      </c>
      <c r="M22" s="5" t="n">
        <v>-79.3125</v>
      </c>
      <c r="N22" s="3"/>
    </row>
    <row r="23" customFormat="false" ht="15" hidden="false" customHeight="false" outlineLevel="0" collapsed="false">
      <c r="A23" s="8" t="s">
        <v>104</v>
      </c>
      <c r="B23" s="3" t="s">
        <v>105</v>
      </c>
      <c r="C23" s="3" t="s">
        <v>106</v>
      </c>
      <c r="D23" s="3" t="n">
        <v>1</v>
      </c>
      <c r="E23" s="3" t="n">
        <v>1</v>
      </c>
      <c r="F23" s="3" t="s">
        <v>112</v>
      </c>
      <c r="G23" s="3" t="s">
        <v>108</v>
      </c>
      <c r="H23" s="3" t="s">
        <v>109</v>
      </c>
      <c r="I23" s="9" t="s">
        <v>110</v>
      </c>
      <c r="J23" s="3" t="s">
        <v>111</v>
      </c>
      <c r="K23" s="3" t="s">
        <v>97</v>
      </c>
      <c r="L23" s="5" t="n">
        <v>-3.2705</v>
      </c>
      <c r="M23" s="5" t="n">
        <v>-79.3125</v>
      </c>
      <c r="N23" s="3"/>
    </row>
    <row r="24" customFormat="false" ht="15" hidden="false" customHeight="false" outlineLevel="0" collapsed="false">
      <c r="A24" s="8" t="s">
        <v>104</v>
      </c>
      <c r="B24" s="3" t="s">
        <v>105</v>
      </c>
      <c r="C24" s="3" t="s">
        <v>106</v>
      </c>
      <c r="D24" s="3" t="n">
        <v>1</v>
      </c>
      <c r="E24" s="3" t="n">
        <v>1</v>
      </c>
      <c r="F24" s="3" t="s">
        <v>114</v>
      </c>
      <c r="G24" s="3" t="s">
        <v>108</v>
      </c>
      <c r="H24" s="3" t="s">
        <v>109</v>
      </c>
      <c r="I24" s="9" t="s">
        <v>110</v>
      </c>
      <c r="J24" s="3" t="s">
        <v>111</v>
      </c>
      <c r="K24" s="3" t="s">
        <v>115</v>
      </c>
      <c r="L24" s="5" t="n">
        <v>-3.2705</v>
      </c>
      <c r="M24" s="5" t="n">
        <v>-79.3125</v>
      </c>
      <c r="N24" s="3"/>
    </row>
    <row r="25" customFormat="false" ht="15" hidden="false" customHeight="false" outlineLevel="0" collapsed="false">
      <c r="A25" s="8" t="s">
        <v>116</v>
      </c>
      <c r="B25" s="3" t="s">
        <v>105</v>
      </c>
      <c r="C25" s="3" t="s">
        <v>106</v>
      </c>
      <c r="D25" s="3" t="n">
        <v>1</v>
      </c>
      <c r="E25" s="3" t="n">
        <v>2</v>
      </c>
      <c r="F25" s="3" t="s">
        <v>117</v>
      </c>
      <c r="G25" s="3" t="s">
        <v>118</v>
      </c>
      <c r="H25" s="3" t="s">
        <v>119</v>
      </c>
      <c r="I25" s="9" t="s">
        <v>110</v>
      </c>
      <c r="J25" s="3" t="s">
        <v>120</v>
      </c>
      <c r="K25" s="3" t="s">
        <v>121</v>
      </c>
      <c r="L25" s="5" t="n">
        <v>-3.2685</v>
      </c>
      <c r="M25" s="5" t="n">
        <v>-79.3155</v>
      </c>
      <c r="N25" s="10" t="s">
        <v>122</v>
      </c>
    </row>
    <row r="26" customFormat="false" ht="15" hidden="false" customHeight="false" outlineLevel="0" collapsed="false">
      <c r="A26" s="8" t="s">
        <v>123</v>
      </c>
      <c r="B26" s="3" t="s">
        <v>105</v>
      </c>
      <c r="C26" s="3" t="s">
        <v>106</v>
      </c>
      <c r="D26" s="3" t="n">
        <v>1</v>
      </c>
      <c r="E26" s="3" t="n">
        <v>3</v>
      </c>
      <c r="F26" s="3" t="s">
        <v>124</v>
      </c>
      <c r="G26" s="3" t="s">
        <v>125</v>
      </c>
      <c r="H26" s="3" t="s">
        <v>126</v>
      </c>
      <c r="I26" s="9" t="s">
        <v>110</v>
      </c>
      <c r="J26" s="3" t="s">
        <v>127</v>
      </c>
      <c r="K26" s="3" t="s">
        <v>128</v>
      </c>
      <c r="L26" s="5" t="n">
        <v>-3.2725</v>
      </c>
      <c r="M26" s="5" t="n">
        <v>-79.316</v>
      </c>
      <c r="N26" s="3"/>
    </row>
    <row r="27" customFormat="false" ht="15" hidden="false" customHeight="false" outlineLevel="0" collapsed="false">
      <c r="A27" s="8" t="s">
        <v>123</v>
      </c>
      <c r="B27" s="3" t="s">
        <v>105</v>
      </c>
      <c r="C27" s="3" t="s">
        <v>106</v>
      </c>
      <c r="D27" s="3" t="n">
        <v>1</v>
      </c>
      <c r="E27" s="3" t="n">
        <v>3</v>
      </c>
      <c r="F27" s="3" t="s">
        <v>129</v>
      </c>
      <c r="G27" s="3" t="s">
        <v>130</v>
      </c>
      <c r="H27" s="3" t="s">
        <v>131</v>
      </c>
      <c r="I27" s="9" t="s">
        <v>110</v>
      </c>
      <c r="J27" s="3" t="s">
        <v>132</v>
      </c>
      <c r="K27" s="3" t="s">
        <v>128</v>
      </c>
      <c r="L27" s="5" t="n">
        <v>-3.2725</v>
      </c>
      <c r="M27" s="5" t="n">
        <v>-79.316</v>
      </c>
      <c r="N27" s="10" t="s">
        <v>133</v>
      </c>
    </row>
    <row r="28" customFormat="false" ht="15" hidden="false" customHeight="false" outlineLevel="0" collapsed="false">
      <c r="A28" s="8" t="s">
        <v>123</v>
      </c>
      <c r="B28" s="3" t="s">
        <v>105</v>
      </c>
      <c r="C28" s="3" t="s">
        <v>106</v>
      </c>
      <c r="D28" s="3" t="n">
        <v>1</v>
      </c>
      <c r="E28" s="3" t="n">
        <v>3</v>
      </c>
      <c r="F28" s="3" t="s">
        <v>134</v>
      </c>
      <c r="G28" s="3" t="s">
        <v>125</v>
      </c>
      <c r="H28" s="3" t="s">
        <v>126</v>
      </c>
      <c r="I28" s="9" t="s">
        <v>110</v>
      </c>
      <c r="J28" s="3" t="s">
        <v>127</v>
      </c>
      <c r="K28" s="3" t="s">
        <v>128</v>
      </c>
      <c r="L28" s="5" t="n">
        <v>-3.2725</v>
      </c>
      <c r="M28" s="5" t="n">
        <v>-79.316</v>
      </c>
      <c r="N28" s="3"/>
    </row>
    <row r="29" customFormat="false" ht="15" hidden="false" customHeight="false" outlineLevel="0" collapsed="false">
      <c r="A29" s="8" t="s">
        <v>123</v>
      </c>
      <c r="B29" s="3" t="s">
        <v>105</v>
      </c>
      <c r="C29" s="3" t="s">
        <v>106</v>
      </c>
      <c r="D29" s="3" t="n">
        <v>1</v>
      </c>
      <c r="E29" s="3" t="n">
        <v>3</v>
      </c>
      <c r="F29" s="3" t="s">
        <v>135</v>
      </c>
      <c r="G29" s="3" t="s">
        <v>125</v>
      </c>
      <c r="H29" s="3" t="s">
        <v>126</v>
      </c>
      <c r="I29" s="9" t="s">
        <v>110</v>
      </c>
      <c r="J29" s="3" t="s">
        <v>127</v>
      </c>
      <c r="K29" s="3" t="s">
        <v>136</v>
      </c>
      <c r="L29" s="5" t="n">
        <v>-3.2725</v>
      </c>
      <c r="M29" s="5" t="n">
        <v>-79.316</v>
      </c>
      <c r="N29" s="3"/>
    </row>
    <row r="30" customFormat="false" ht="15" hidden="false" customHeight="false" outlineLevel="0" collapsed="false">
      <c r="A30" s="8" t="s">
        <v>137</v>
      </c>
      <c r="B30" s="3" t="s">
        <v>105</v>
      </c>
      <c r="C30" s="3" t="s">
        <v>106</v>
      </c>
      <c r="D30" s="3" t="n">
        <v>1</v>
      </c>
      <c r="E30" s="3" t="n">
        <v>4</v>
      </c>
      <c r="F30" s="3" t="s">
        <v>138</v>
      </c>
      <c r="G30" s="3" t="s">
        <v>139</v>
      </c>
      <c r="H30" s="3" t="s">
        <v>140</v>
      </c>
      <c r="I30" s="9" t="s">
        <v>110</v>
      </c>
      <c r="J30" s="3" t="s">
        <v>141</v>
      </c>
      <c r="K30" s="3" t="s">
        <v>142</v>
      </c>
      <c r="L30" s="5" t="n">
        <v>-3.267</v>
      </c>
      <c r="M30" s="5" t="n">
        <v>-79.3105</v>
      </c>
      <c r="N30" s="3"/>
    </row>
    <row r="31" customFormat="false" ht="15" hidden="false" customHeight="false" outlineLevel="0" collapsed="false">
      <c r="A31" s="8" t="s">
        <v>137</v>
      </c>
      <c r="B31" s="3" t="s">
        <v>105</v>
      </c>
      <c r="C31" s="3" t="s">
        <v>106</v>
      </c>
      <c r="D31" s="3" t="n">
        <v>1</v>
      </c>
      <c r="E31" s="3" t="n">
        <v>4</v>
      </c>
      <c r="F31" s="3" t="s">
        <v>143</v>
      </c>
      <c r="G31" s="3" t="s">
        <v>139</v>
      </c>
      <c r="H31" s="3" t="s">
        <v>140</v>
      </c>
      <c r="I31" s="9" t="s">
        <v>110</v>
      </c>
      <c r="J31" s="3" t="s">
        <v>141</v>
      </c>
      <c r="K31" s="3" t="s">
        <v>142</v>
      </c>
      <c r="L31" s="5" t="n">
        <v>-3.267</v>
      </c>
      <c r="M31" s="5" t="n">
        <v>-79.3105</v>
      </c>
      <c r="N31" s="3"/>
    </row>
    <row r="32" customFormat="false" ht="15" hidden="false" customHeight="false" outlineLevel="0" collapsed="false">
      <c r="A32" s="8" t="s">
        <v>144</v>
      </c>
      <c r="B32" s="3" t="s">
        <v>105</v>
      </c>
      <c r="C32" s="3" t="s">
        <v>106</v>
      </c>
      <c r="D32" s="3" t="n">
        <v>1</v>
      </c>
      <c r="E32" s="3" t="n">
        <v>5</v>
      </c>
      <c r="F32" s="3" t="s">
        <v>145</v>
      </c>
      <c r="G32" s="3" t="s">
        <v>146</v>
      </c>
      <c r="H32" s="3" t="s">
        <v>147</v>
      </c>
      <c r="I32" s="9" t="s">
        <v>110</v>
      </c>
      <c r="J32" s="3" t="s">
        <v>111</v>
      </c>
      <c r="K32" s="3" t="s">
        <v>136</v>
      </c>
      <c r="L32" s="5" t="n">
        <v>-3.274</v>
      </c>
      <c r="M32" s="5" t="n">
        <v>-79.312</v>
      </c>
      <c r="N32" s="3"/>
    </row>
    <row r="33" customFormat="false" ht="15" hidden="false" customHeight="false" outlineLevel="0" collapsed="false">
      <c r="A33" s="2" t="s">
        <v>148</v>
      </c>
      <c r="B33" s="3" t="s">
        <v>149</v>
      </c>
      <c r="C33" s="3" t="s">
        <v>150</v>
      </c>
      <c r="D33" s="3" t="n">
        <v>1</v>
      </c>
      <c r="E33" s="3" t="n">
        <v>1</v>
      </c>
      <c r="F33" s="3" t="s">
        <v>151</v>
      </c>
      <c r="G33" s="3" t="s">
        <v>152</v>
      </c>
      <c r="H33" s="3" t="s">
        <v>153</v>
      </c>
      <c r="I33" s="4" t="s">
        <v>20</v>
      </c>
      <c r="J33" s="3" t="s">
        <v>21</v>
      </c>
      <c r="K33" s="3" t="s">
        <v>87</v>
      </c>
      <c r="L33" s="5" t="n">
        <v>-2.547</v>
      </c>
      <c r="M33" s="5" t="n">
        <v>-78.92</v>
      </c>
      <c r="N33" s="3"/>
    </row>
    <row r="34" customFormat="false" ht="15" hidden="false" customHeight="false" outlineLevel="0" collapsed="false">
      <c r="A34" s="2" t="s">
        <v>154</v>
      </c>
      <c r="B34" s="3" t="s">
        <v>149</v>
      </c>
      <c r="C34" s="3" t="s">
        <v>150</v>
      </c>
      <c r="D34" s="3" t="n">
        <v>1</v>
      </c>
      <c r="E34" s="3" t="n">
        <v>2</v>
      </c>
      <c r="F34" s="3" t="s">
        <v>155</v>
      </c>
      <c r="G34" s="3" t="s">
        <v>156</v>
      </c>
      <c r="H34" s="3" t="s">
        <v>157</v>
      </c>
      <c r="I34" s="4" t="s">
        <v>20</v>
      </c>
      <c r="J34" s="3" t="s">
        <v>21</v>
      </c>
      <c r="K34" s="3" t="s">
        <v>158</v>
      </c>
      <c r="L34" s="5" t="n">
        <v>-2.2745</v>
      </c>
      <c r="M34" s="5" t="n">
        <v>-78.925</v>
      </c>
      <c r="N34" s="3"/>
    </row>
    <row r="35" customFormat="false" ht="15" hidden="false" customHeight="false" outlineLevel="0" collapsed="false">
      <c r="A35" s="2" t="s">
        <v>159</v>
      </c>
      <c r="B35" s="3" t="s">
        <v>149</v>
      </c>
      <c r="C35" s="3" t="s">
        <v>150</v>
      </c>
      <c r="D35" s="3" t="n">
        <v>1</v>
      </c>
      <c r="E35" s="3" t="n">
        <v>3</v>
      </c>
      <c r="F35" s="3" t="s">
        <v>160</v>
      </c>
      <c r="G35" s="3" t="s">
        <v>161</v>
      </c>
      <c r="H35" s="3" t="s">
        <v>162</v>
      </c>
      <c r="I35" s="4" t="s">
        <v>20</v>
      </c>
      <c r="J35" s="3" t="s">
        <v>21</v>
      </c>
      <c r="K35" s="3" t="s">
        <v>97</v>
      </c>
      <c r="L35" s="5" t="n">
        <v>-2.2805</v>
      </c>
      <c r="M35" s="5" t="n">
        <v>-78.9215</v>
      </c>
      <c r="N35" s="3"/>
    </row>
    <row r="36" customFormat="false" ht="15" hidden="false" customHeight="false" outlineLevel="0" collapsed="false">
      <c r="A36" s="2" t="s">
        <v>159</v>
      </c>
      <c r="B36" s="3" t="s">
        <v>149</v>
      </c>
      <c r="C36" s="3" t="s">
        <v>150</v>
      </c>
      <c r="D36" s="3" t="n">
        <v>1</v>
      </c>
      <c r="E36" s="3" t="n">
        <v>3</v>
      </c>
      <c r="F36" s="3" t="s">
        <v>163</v>
      </c>
      <c r="G36" s="3" t="s">
        <v>161</v>
      </c>
      <c r="H36" s="3" t="s">
        <v>162</v>
      </c>
      <c r="I36" s="4" t="s">
        <v>20</v>
      </c>
      <c r="J36" s="3" t="s">
        <v>21</v>
      </c>
      <c r="K36" s="3" t="s">
        <v>97</v>
      </c>
      <c r="L36" s="5" t="n">
        <v>-2.2805</v>
      </c>
      <c r="M36" s="5" t="n">
        <v>-78.9215</v>
      </c>
      <c r="N36" s="3"/>
    </row>
    <row r="37" customFormat="false" ht="15" hidden="false" customHeight="false" outlineLevel="0" collapsed="false">
      <c r="A37" s="2" t="s">
        <v>164</v>
      </c>
      <c r="B37" s="3" t="s">
        <v>149</v>
      </c>
      <c r="C37" s="3" t="s">
        <v>150</v>
      </c>
      <c r="D37" s="3" t="n">
        <v>1</v>
      </c>
      <c r="E37" s="3" t="n">
        <v>4</v>
      </c>
      <c r="F37" s="3" t="s">
        <v>165</v>
      </c>
      <c r="G37" s="3" t="s">
        <v>166</v>
      </c>
      <c r="H37" s="3" t="s">
        <v>167</v>
      </c>
      <c r="I37" s="4" t="s">
        <v>20</v>
      </c>
      <c r="J37" s="3" t="s">
        <v>21</v>
      </c>
      <c r="K37" s="3" t="s">
        <v>168</v>
      </c>
      <c r="L37" s="5" t="n">
        <v>-2.208</v>
      </c>
      <c r="M37" s="5" t="n">
        <v>-78.85</v>
      </c>
      <c r="N37" s="3"/>
    </row>
    <row r="38" customFormat="false" ht="15" hidden="false" customHeight="false" outlineLevel="0" collapsed="false">
      <c r="A38" s="2" t="s">
        <v>169</v>
      </c>
      <c r="B38" s="3" t="s">
        <v>149</v>
      </c>
      <c r="C38" s="3" t="s">
        <v>150</v>
      </c>
      <c r="D38" s="3" t="n">
        <v>1</v>
      </c>
      <c r="E38" s="3" t="n">
        <v>5</v>
      </c>
      <c r="F38" s="3" t="s">
        <v>170</v>
      </c>
      <c r="G38" s="3" t="s">
        <v>171</v>
      </c>
      <c r="H38" s="3" t="s">
        <v>172</v>
      </c>
      <c r="I38" s="4" t="s">
        <v>20</v>
      </c>
      <c r="J38" s="3" t="s">
        <v>21</v>
      </c>
      <c r="K38" s="3" t="s">
        <v>173</v>
      </c>
      <c r="L38" s="5" t="n">
        <v>-2.2005</v>
      </c>
      <c r="M38" s="5" t="n">
        <v>-78.8443</v>
      </c>
      <c r="N38" s="3"/>
    </row>
    <row r="39" customFormat="false" ht="15" hidden="false" customHeight="false" outlineLevel="0" collapsed="false">
      <c r="A39" s="2" t="s">
        <v>169</v>
      </c>
      <c r="B39" s="3" t="s">
        <v>149</v>
      </c>
      <c r="C39" s="3" t="s">
        <v>150</v>
      </c>
      <c r="D39" s="3" t="n">
        <v>1</v>
      </c>
      <c r="E39" s="3" t="n">
        <v>5</v>
      </c>
      <c r="F39" s="3" t="s">
        <v>174</v>
      </c>
      <c r="G39" s="3" t="s">
        <v>130</v>
      </c>
      <c r="H39" s="3" t="s">
        <v>131</v>
      </c>
      <c r="I39" s="4" t="s">
        <v>20</v>
      </c>
      <c r="J39" s="3" t="s">
        <v>132</v>
      </c>
      <c r="K39" s="3" t="s">
        <v>173</v>
      </c>
      <c r="L39" s="5" t="n">
        <v>-2.2005</v>
      </c>
      <c r="M39" s="5" t="n">
        <v>-78.8443</v>
      </c>
      <c r="N39" s="10" t="s">
        <v>175</v>
      </c>
    </row>
    <row r="40" customFormat="false" ht="15" hidden="false" customHeight="false" outlineLevel="0" collapsed="false">
      <c r="A40" s="6" t="s">
        <v>176</v>
      </c>
      <c r="B40" s="3" t="s">
        <v>177</v>
      </c>
      <c r="C40" s="3" t="s">
        <v>178</v>
      </c>
      <c r="D40" s="3" t="n">
        <v>1</v>
      </c>
      <c r="E40" s="3" t="n">
        <v>1</v>
      </c>
      <c r="F40" s="3" t="s">
        <v>179</v>
      </c>
      <c r="G40" s="3" t="s">
        <v>180</v>
      </c>
      <c r="H40" s="3" t="s">
        <v>181</v>
      </c>
      <c r="I40" s="7" t="s">
        <v>66</v>
      </c>
      <c r="J40" s="3" t="s">
        <v>67</v>
      </c>
      <c r="K40" s="3" t="s">
        <v>182</v>
      </c>
      <c r="L40" s="5" t="n">
        <v>-2.8845</v>
      </c>
      <c r="M40" s="5" t="n">
        <v>-78.976</v>
      </c>
      <c r="N40" s="3"/>
    </row>
    <row r="41" customFormat="false" ht="15" hidden="false" customHeight="false" outlineLevel="0" collapsed="false">
      <c r="A41" s="6" t="s">
        <v>176</v>
      </c>
      <c r="B41" s="3" t="s">
        <v>177</v>
      </c>
      <c r="C41" s="3" t="s">
        <v>178</v>
      </c>
      <c r="D41" s="3" t="n">
        <v>1</v>
      </c>
      <c r="E41" s="3" t="n">
        <v>1</v>
      </c>
      <c r="F41" s="3" t="s">
        <v>183</v>
      </c>
      <c r="G41" s="3" t="s">
        <v>180</v>
      </c>
      <c r="H41" s="3" t="s">
        <v>181</v>
      </c>
      <c r="I41" s="7" t="s">
        <v>66</v>
      </c>
      <c r="J41" s="3" t="s">
        <v>67</v>
      </c>
      <c r="K41" s="3" t="s">
        <v>182</v>
      </c>
      <c r="L41" s="5" t="n">
        <v>-2.8845</v>
      </c>
      <c r="M41" s="5" t="n">
        <v>-78.976</v>
      </c>
      <c r="N41" s="3"/>
    </row>
    <row r="42" customFormat="false" ht="15" hidden="false" customHeight="false" outlineLevel="0" collapsed="false">
      <c r="A42" s="6" t="s">
        <v>184</v>
      </c>
      <c r="B42" s="3" t="s">
        <v>177</v>
      </c>
      <c r="C42" s="3" t="s">
        <v>178</v>
      </c>
      <c r="D42" s="3" t="n">
        <v>1</v>
      </c>
      <c r="E42" s="3" t="n">
        <v>2</v>
      </c>
      <c r="F42" s="3" t="s">
        <v>185</v>
      </c>
      <c r="G42" s="3" t="s">
        <v>186</v>
      </c>
      <c r="H42" s="3" t="s">
        <v>187</v>
      </c>
      <c r="I42" s="7" t="s">
        <v>66</v>
      </c>
      <c r="J42" s="3" t="s">
        <v>127</v>
      </c>
      <c r="K42" s="3" t="s">
        <v>188</v>
      </c>
      <c r="L42" s="5" t="n">
        <v>-2.883</v>
      </c>
      <c r="M42" s="5" t="n">
        <v>-78.9755</v>
      </c>
      <c r="N42" s="3"/>
    </row>
    <row r="43" customFormat="false" ht="15" hidden="false" customHeight="false" outlineLevel="0" collapsed="false">
      <c r="A43" s="6" t="s">
        <v>189</v>
      </c>
      <c r="B43" s="3" t="s">
        <v>177</v>
      </c>
      <c r="C43" s="3" t="s">
        <v>178</v>
      </c>
      <c r="D43" s="3" t="n">
        <v>1</v>
      </c>
      <c r="E43" s="3" t="n">
        <v>3</v>
      </c>
      <c r="F43" s="3" t="s">
        <v>190</v>
      </c>
      <c r="G43" s="3" t="s">
        <v>191</v>
      </c>
      <c r="H43" s="3" t="s">
        <v>192</v>
      </c>
      <c r="I43" s="7" t="s">
        <v>66</v>
      </c>
      <c r="J43" s="3" t="s">
        <v>193</v>
      </c>
      <c r="K43" s="3" t="s">
        <v>194</v>
      </c>
      <c r="L43" s="5" t="n">
        <v>-2.894</v>
      </c>
      <c r="M43" s="5" t="n">
        <v>-79.001</v>
      </c>
      <c r="N43" s="3"/>
    </row>
    <row r="44" customFormat="false" ht="15" hidden="false" customHeight="false" outlineLevel="0" collapsed="false">
      <c r="A44" s="6" t="s">
        <v>195</v>
      </c>
      <c r="B44" s="3" t="s">
        <v>177</v>
      </c>
      <c r="C44" s="3" t="s">
        <v>178</v>
      </c>
      <c r="D44" s="3" t="n">
        <v>1</v>
      </c>
      <c r="E44" s="3" t="n">
        <v>4</v>
      </c>
      <c r="F44" s="3" t="s">
        <v>196</v>
      </c>
      <c r="G44" s="3" t="s">
        <v>197</v>
      </c>
      <c r="H44" s="3" t="s">
        <v>198</v>
      </c>
      <c r="I44" s="7" t="s">
        <v>66</v>
      </c>
      <c r="J44" s="3" t="s">
        <v>67</v>
      </c>
      <c r="K44" s="3" t="s">
        <v>199</v>
      </c>
      <c r="L44" s="5" t="n">
        <v>-2.8865</v>
      </c>
      <c r="M44" s="5" t="n">
        <v>-78.97</v>
      </c>
      <c r="N44" s="3"/>
    </row>
    <row r="45" customFormat="false" ht="15" hidden="false" customHeight="false" outlineLevel="0" collapsed="false">
      <c r="A45" s="6" t="s">
        <v>200</v>
      </c>
      <c r="B45" s="3" t="s">
        <v>177</v>
      </c>
      <c r="C45" s="3" t="s">
        <v>178</v>
      </c>
      <c r="D45" s="3" t="n">
        <v>1</v>
      </c>
      <c r="E45" s="3" t="n">
        <v>5</v>
      </c>
      <c r="F45" s="3" t="s">
        <v>201</v>
      </c>
      <c r="G45" s="3" t="s">
        <v>202</v>
      </c>
      <c r="H45" s="3" t="s">
        <v>203</v>
      </c>
      <c r="I45" s="7" t="s">
        <v>66</v>
      </c>
      <c r="J45" s="3" t="s">
        <v>67</v>
      </c>
      <c r="K45" s="3" t="s">
        <v>204</v>
      </c>
      <c r="L45" s="5" t="n">
        <v>-2.8865</v>
      </c>
      <c r="M45" s="5" t="n">
        <v>-78.9835</v>
      </c>
      <c r="N45" s="3"/>
    </row>
    <row r="46" customFormat="false" ht="15" hidden="false" customHeight="false" outlineLevel="0" collapsed="false">
      <c r="A46" s="6" t="s">
        <v>205</v>
      </c>
      <c r="B46" s="3" t="s">
        <v>177</v>
      </c>
      <c r="C46" s="3" t="s">
        <v>178</v>
      </c>
      <c r="D46" s="3" t="n">
        <v>1</v>
      </c>
      <c r="E46" s="3" t="n">
        <v>6</v>
      </c>
      <c r="F46" s="3" t="s">
        <v>206</v>
      </c>
      <c r="G46" s="3" t="s">
        <v>207</v>
      </c>
      <c r="H46" s="3" t="s">
        <v>208</v>
      </c>
      <c r="I46" s="7" t="s">
        <v>66</v>
      </c>
      <c r="J46" s="3" t="s">
        <v>67</v>
      </c>
      <c r="K46" s="3" t="s">
        <v>209</v>
      </c>
      <c r="L46" s="5" t="n">
        <v>-2.879</v>
      </c>
      <c r="M46" s="5" t="n">
        <v>-78.925</v>
      </c>
      <c r="N46" s="3"/>
    </row>
    <row r="47" customFormat="false" ht="15" hidden="false" customHeight="false" outlineLevel="0" collapsed="false">
      <c r="A47" s="6" t="s">
        <v>210</v>
      </c>
      <c r="B47" s="3" t="s">
        <v>177</v>
      </c>
      <c r="C47" s="3" t="s">
        <v>178</v>
      </c>
      <c r="D47" s="3" t="n">
        <v>1</v>
      </c>
      <c r="E47" s="3" t="n">
        <v>7</v>
      </c>
      <c r="F47" s="3" t="s">
        <v>211</v>
      </c>
      <c r="G47" s="3" t="s">
        <v>212</v>
      </c>
      <c r="H47" s="3" t="s">
        <v>213</v>
      </c>
      <c r="I47" s="7" t="s">
        <v>66</v>
      </c>
      <c r="J47" s="3" t="s">
        <v>193</v>
      </c>
      <c r="K47" s="3" t="s">
        <v>214</v>
      </c>
      <c r="L47" s="5" t="n">
        <v>-2.783</v>
      </c>
      <c r="M47" s="5" t="n">
        <v>-79.062</v>
      </c>
      <c r="N47" s="3"/>
    </row>
    <row r="48" customFormat="false" ht="15" hidden="false" customHeight="false" outlineLevel="0" collapsed="false">
      <c r="A48" s="6" t="s">
        <v>215</v>
      </c>
      <c r="B48" s="3" t="s">
        <v>216</v>
      </c>
      <c r="C48" s="3" t="s">
        <v>178</v>
      </c>
      <c r="D48" s="3" t="n">
        <v>2</v>
      </c>
      <c r="E48" s="3" t="n">
        <v>1</v>
      </c>
      <c r="F48" s="3" t="s">
        <v>217</v>
      </c>
      <c r="G48" s="3" t="s">
        <v>218</v>
      </c>
      <c r="H48" s="3" t="s">
        <v>219</v>
      </c>
      <c r="I48" s="7" t="s">
        <v>66</v>
      </c>
      <c r="J48" s="3" t="s">
        <v>141</v>
      </c>
      <c r="K48" s="3" t="s">
        <v>53</v>
      </c>
      <c r="L48" s="5" t="n">
        <v>-2.902</v>
      </c>
      <c r="M48" s="5" t="n">
        <v>-79.023</v>
      </c>
      <c r="N48" s="3"/>
    </row>
    <row r="49" customFormat="false" ht="15" hidden="false" customHeight="false" outlineLevel="0" collapsed="false">
      <c r="A49" s="6" t="s">
        <v>220</v>
      </c>
      <c r="B49" s="3" t="s">
        <v>221</v>
      </c>
      <c r="C49" s="3" t="s">
        <v>178</v>
      </c>
      <c r="D49" s="3" t="n">
        <v>3</v>
      </c>
      <c r="E49" s="3" t="n">
        <v>1</v>
      </c>
      <c r="F49" s="3" t="s">
        <v>222</v>
      </c>
      <c r="G49" s="3" t="s">
        <v>223</v>
      </c>
      <c r="H49" s="3" t="s">
        <v>224</v>
      </c>
      <c r="I49" s="7" t="s">
        <v>66</v>
      </c>
      <c r="J49" s="3" t="s">
        <v>127</v>
      </c>
      <c r="K49" s="3" t="s">
        <v>225</v>
      </c>
      <c r="L49" s="5" t="n">
        <v>-2.879</v>
      </c>
      <c r="M49" s="5" t="n">
        <v>-78.974</v>
      </c>
      <c r="N49" s="3"/>
    </row>
    <row r="50" customFormat="false" ht="15" hidden="false" customHeight="false" outlineLevel="0" collapsed="false">
      <c r="A50" s="6" t="s">
        <v>226</v>
      </c>
      <c r="B50" s="3" t="s">
        <v>221</v>
      </c>
      <c r="C50" s="3" t="s">
        <v>178</v>
      </c>
      <c r="D50" s="3" t="n">
        <v>3</v>
      </c>
      <c r="E50" s="3" t="n">
        <v>2</v>
      </c>
      <c r="F50" s="3" t="s">
        <v>227</v>
      </c>
      <c r="G50" s="3" t="s">
        <v>228</v>
      </c>
      <c r="H50" s="3" t="s">
        <v>229</v>
      </c>
      <c r="I50" s="7" t="s">
        <v>66</v>
      </c>
      <c r="J50" s="3" t="s">
        <v>67</v>
      </c>
      <c r="K50" s="3" t="s">
        <v>230</v>
      </c>
      <c r="L50" s="5" t="n">
        <v>-2.8965</v>
      </c>
      <c r="M50" s="5" t="n">
        <v>-79.004</v>
      </c>
      <c r="N50" s="3"/>
    </row>
    <row r="51" customFormat="false" ht="15" hidden="false" customHeight="false" outlineLevel="0" collapsed="false">
      <c r="A51" s="6" t="s">
        <v>231</v>
      </c>
      <c r="B51" s="3" t="s">
        <v>232</v>
      </c>
      <c r="C51" s="3" t="s">
        <v>233</v>
      </c>
      <c r="D51" s="3" t="n">
        <v>1</v>
      </c>
      <c r="E51" s="3" t="n">
        <v>1</v>
      </c>
      <c r="F51" s="3" t="s">
        <v>234</v>
      </c>
      <c r="G51" s="3" t="s">
        <v>235</v>
      </c>
      <c r="H51" s="3" t="s">
        <v>236</v>
      </c>
      <c r="I51" s="7" t="s">
        <v>66</v>
      </c>
      <c r="J51" s="3" t="s">
        <v>237</v>
      </c>
      <c r="K51" s="3" t="s">
        <v>238</v>
      </c>
      <c r="L51" s="5" t="n">
        <v>-2.906</v>
      </c>
      <c r="M51" s="5" t="n">
        <v>-79.043</v>
      </c>
      <c r="N51" s="10" t="s">
        <v>239</v>
      </c>
    </row>
    <row r="52" customFormat="false" ht="15" hidden="false" customHeight="false" outlineLevel="0" collapsed="false">
      <c r="A52" s="6" t="s">
        <v>240</v>
      </c>
      <c r="B52" s="3" t="s">
        <v>241</v>
      </c>
      <c r="C52" s="3" t="s">
        <v>233</v>
      </c>
      <c r="D52" s="3" t="n">
        <v>2</v>
      </c>
      <c r="E52" s="3" t="n">
        <v>1</v>
      </c>
      <c r="F52" s="3" t="s">
        <v>242</v>
      </c>
      <c r="G52" s="3" t="s">
        <v>243</v>
      </c>
      <c r="H52" s="3" t="s">
        <v>244</v>
      </c>
      <c r="I52" s="7" t="s">
        <v>66</v>
      </c>
      <c r="J52" s="3" t="s">
        <v>193</v>
      </c>
      <c r="K52" s="3" t="s">
        <v>204</v>
      </c>
      <c r="L52" s="5" t="n">
        <v>-2.852</v>
      </c>
      <c r="M52" s="5" t="n">
        <v>-79.018</v>
      </c>
      <c r="N52" s="3"/>
    </row>
    <row r="53" customFormat="false" ht="15" hidden="false" customHeight="false" outlineLevel="0" collapsed="false">
      <c r="A53" s="6" t="s">
        <v>245</v>
      </c>
      <c r="B53" s="3" t="s">
        <v>241</v>
      </c>
      <c r="C53" s="3" t="s">
        <v>233</v>
      </c>
      <c r="D53" s="3" t="n">
        <v>2</v>
      </c>
      <c r="E53" s="3" t="n">
        <v>2</v>
      </c>
      <c r="F53" s="3" t="s">
        <v>246</v>
      </c>
      <c r="G53" s="3" t="s">
        <v>247</v>
      </c>
      <c r="H53" s="3" t="s">
        <v>248</v>
      </c>
      <c r="I53" s="7" t="s">
        <v>66</v>
      </c>
      <c r="J53" s="3" t="s">
        <v>193</v>
      </c>
      <c r="K53" s="3" t="s">
        <v>32</v>
      </c>
      <c r="L53" s="5" t="n">
        <v>-2.839</v>
      </c>
      <c r="M53" s="5" t="n">
        <v>-79.025</v>
      </c>
      <c r="N53" s="3"/>
    </row>
    <row r="54" customFormat="false" ht="15" hidden="false" customHeight="false" outlineLevel="0" collapsed="false">
      <c r="A54" s="6" t="s">
        <v>249</v>
      </c>
      <c r="B54" s="3" t="s">
        <v>250</v>
      </c>
      <c r="C54" s="3" t="s">
        <v>233</v>
      </c>
      <c r="D54" s="3" t="n">
        <v>3</v>
      </c>
      <c r="E54" s="3" t="n">
        <v>1</v>
      </c>
      <c r="F54" s="3" t="s">
        <v>251</v>
      </c>
      <c r="G54" s="3" t="s">
        <v>252</v>
      </c>
      <c r="H54" s="3" t="s">
        <v>253</v>
      </c>
      <c r="I54" s="7" t="s">
        <v>66</v>
      </c>
      <c r="J54" s="3" t="s">
        <v>127</v>
      </c>
      <c r="K54" s="3" t="s">
        <v>254</v>
      </c>
      <c r="L54" s="5" t="n">
        <v>-2.848</v>
      </c>
      <c r="M54" s="5" t="n">
        <v>-78.964</v>
      </c>
      <c r="N54" s="3"/>
    </row>
    <row r="55" customFormat="false" ht="15" hidden="false" customHeight="false" outlineLevel="0" collapsed="false">
      <c r="A55" s="6" t="s">
        <v>255</v>
      </c>
      <c r="B55" s="3" t="s">
        <v>256</v>
      </c>
      <c r="C55" s="3" t="s">
        <v>233</v>
      </c>
      <c r="D55" s="3" t="n">
        <v>4</v>
      </c>
      <c r="E55" s="3" t="n">
        <v>1</v>
      </c>
      <c r="F55" s="3" t="s">
        <v>257</v>
      </c>
      <c r="G55" s="3" t="s">
        <v>258</v>
      </c>
      <c r="H55" s="3" t="s">
        <v>259</v>
      </c>
      <c r="I55" s="7" t="s">
        <v>66</v>
      </c>
      <c r="J55" s="3" t="s">
        <v>193</v>
      </c>
      <c r="K55" s="3" t="s">
        <v>260</v>
      </c>
      <c r="L55" s="5" t="n">
        <v>-2.873</v>
      </c>
      <c r="M55" s="5" t="n">
        <v>-78.99</v>
      </c>
      <c r="N55" s="3"/>
    </row>
    <row r="56" customFormat="false" ht="15" hidden="false" customHeight="false" outlineLevel="0" collapsed="false">
      <c r="A56" s="6" t="s">
        <v>261</v>
      </c>
      <c r="B56" s="3" t="s">
        <v>256</v>
      </c>
      <c r="C56" s="3" t="s">
        <v>233</v>
      </c>
      <c r="D56" s="3" t="n">
        <v>4</v>
      </c>
      <c r="E56" s="3" t="n">
        <v>2</v>
      </c>
      <c r="F56" s="3" t="s">
        <v>262</v>
      </c>
      <c r="G56" s="3" t="s">
        <v>263</v>
      </c>
      <c r="H56" s="3" t="s">
        <v>264</v>
      </c>
      <c r="I56" s="7" t="s">
        <v>66</v>
      </c>
      <c r="J56" s="3" t="s">
        <v>193</v>
      </c>
      <c r="K56" s="3" t="s">
        <v>265</v>
      </c>
      <c r="L56" s="5" t="n">
        <v>-2.841</v>
      </c>
      <c r="M56" s="5" t="n">
        <v>-78.988</v>
      </c>
      <c r="N56" s="10" t="s">
        <v>266</v>
      </c>
    </row>
    <row r="57" customFormat="false" ht="15" hidden="false" customHeight="false" outlineLevel="0" collapsed="false">
      <c r="A57" s="6" t="s">
        <v>267</v>
      </c>
      <c r="B57" s="3" t="s">
        <v>256</v>
      </c>
      <c r="C57" s="3" t="s">
        <v>233</v>
      </c>
      <c r="D57" s="3" t="n">
        <v>4</v>
      </c>
      <c r="E57" s="3" t="n">
        <v>3</v>
      </c>
      <c r="F57" s="3" t="s">
        <v>268</v>
      </c>
      <c r="G57" s="3" t="s">
        <v>269</v>
      </c>
      <c r="H57" s="3" t="s">
        <v>270</v>
      </c>
      <c r="I57" s="7" t="s">
        <v>66</v>
      </c>
      <c r="J57" s="3" t="s">
        <v>193</v>
      </c>
      <c r="K57" s="3" t="s">
        <v>271</v>
      </c>
      <c r="L57" s="5" t="n">
        <v>-2.808</v>
      </c>
      <c r="M57" s="5" t="n">
        <v>-79.011</v>
      </c>
      <c r="N57" s="3"/>
    </row>
    <row r="58" customFormat="false" ht="15" hidden="false" customHeight="false" outlineLevel="0" collapsed="false">
      <c r="A58" s="6" t="s">
        <v>272</v>
      </c>
      <c r="B58" s="3" t="s">
        <v>273</v>
      </c>
      <c r="C58" s="3" t="s">
        <v>274</v>
      </c>
      <c r="D58" s="3" t="n">
        <v>1</v>
      </c>
      <c r="E58" s="3" t="n">
        <v>1</v>
      </c>
      <c r="F58" s="3" t="s">
        <v>275</v>
      </c>
      <c r="G58" s="3" t="s">
        <v>276</v>
      </c>
      <c r="H58" s="3" t="s">
        <v>277</v>
      </c>
      <c r="I58" s="7" t="s">
        <v>66</v>
      </c>
      <c r="J58" s="3" t="s">
        <v>237</v>
      </c>
      <c r="K58" s="3" t="s">
        <v>278</v>
      </c>
      <c r="L58" s="5" t="n">
        <v>-2.8965</v>
      </c>
      <c r="M58" s="5" t="n">
        <v>-79.011</v>
      </c>
      <c r="N58" s="3"/>
    </row>
    <row r="59" customFormat="false" ht="15" hidden="false" customHeight="false" outlineLevel="0" collapsed="false">
      <c r="A59" s="6" t="s">
        <v>279</v>
      </c>
      <c r="B59" s="3" t="s">
        <v>273</v>
      </c>
      <c r="C59" s="3" t="s">
        <v>274</v>
      </c>
      <c r="D59" s="3" t="n">
        <v>1</v>
      </c>
      <c r="E59" s="3" t="n">
        <v>2</v>
      </c>
      <c r="F59" s="3" t="s">
        <v>280</v>
      </c>
      <c r="G59" s="3" t="s">
        <v>281</v>
      </c>
      <c r="H59" s="3" t="s">
        <v>282</v>
      </c>
      <c r="I59" s="7" t="s">
        <v>66</v>
      </c>
      <c r="J59" s="3" t="s">
        <v>67</v>
      </c>
      <c r="K59" s="3" t="s">
        <v>22</v>
      </c>
      <c r="L59" s="5" t="n">
        <v>-2.879</v>
      </c>
      <c r="M59" s="5" t="n">
        <v>-79.018</v>
      </c>
      <c r="N59" s="3"/>
    </row>
    <row r="60" customFormat="false" ht="15" hidden="false" customHeight="false" outlineLevel="0" collapsed="false">
      <c r="A60" s="6" t="s">
        <v>283</v>
      </c>
      <c r="B60" s="3" t="s">
        <v>273</v>
      </c>
      <c r="C60" s="3" t="s">
        <v>274</v>
      </c>
      <c r="D60" s="3" t="n">
        <v>1</v>
      </c>
      <c r="E60" s="3" t="n">
        <v>3</v>
      </c>
      <c r="F60" s="3" t="s">
        <v>284</v>
      </c>
      <c r="G60" s="3" t="s">
        <v>285</v>
      </c>
      <c r="H60" s="3" t="s">
        <v>286</v>
      </c>
      <c r="I60" s="7" t="s">
        <v>66</v>
      </c>
      <c r="J60" s="3" t="s">
        <v>193</v>
      </c>
      <c r="K60" s="3" t="s">
        <v>287</v>
      </c>
      <c r="L60" s="5" t="n">
        <v>-2.8955</v>
      </c>
      <c r="M60" s="5" t="n">
        <v>-78.9995</v>
      </c>
      <c r="N60" s="3"/>
    </row>
    <row r="61" customFormat="false" ht="15" hidden="false" customHeight="false" outlineLevel="0" collapsed="false">
      <c r="A61" s="6" t="s">
        <v>288</v>
      </c>
      <c r="B61" s="3" t="s">
        <v>273</v>
      </c>
      <c r="C61" s="3" t="s">
        <v>274</v>
      </c>
      <c r="D61" s="3" t="n">
        <v>1</v>
      </c>
      <c r="E61" s="3" t="n">
        <v>4</v>
      </c>
      <c r="F61" s="3" t="s">
        <v>289</v>
      </c>
      <c r="G61" s="3" t="s">
        <v>290</v>
      </c>
      <c r="H61" s="3" t="s">
        <v>291</v>
      </c>
      <c r="I61" s="7" t="s">
        <v>66</v>
      </c>
      <c r="J61" s="3" t="s">
        <v>193</v>
      </c>
      <c r="K61" s="3" t="s">
        <v>292</v>
      </c>
      <c r="L61" s="5" t="n">
        <v>-2.873</v>
      </c>
      <c r="M61" s="5" t="n">
        <v>-79.023</v>
      </c>
      <c r="N61" s="3"/>
    </row>
    <row r="62" customFormat="false" ht="15" hidden="false" customHeight="false" outlineLevel="0" collapsed="false">
      <c r="A62" s="6" t="s">
        <v>293</v>
      </c>
      <c r="B62" s="3" t="s">
        <v>273</v>
      </c>
      <c r="C62" s="3" t="s">
        <v>274</v>
      </c>
      <c r="D62" s="3" t="n">
        <v>1</v>
      </c>
      <c r="E62" s="3" t="n">
        <v>5</v>
      </c>
      <c r="F62" s="3" t="s">
        <v>294</v>
      </c>
      <c r="G62" s="3" t="s">
        <v>295</v>
      </c>
      <c r="H62" s="3" t="s">
        <v>296</v>
      </c>
      <c r="I62" s="7" t="s">
        <v>66</v>
      </c>
      <c r="J62" s="3" t="s">
        <v>67</v>
      </c>
      <c r="K62" s="3" t="s">
        <v>297</v>
      </c>
      <c r="L62" s="5" t="n">
        <v>-2.87</v>
      </c>
      <c r="M62" s="5" t="n">
        <v>-79.07</v>
      </c>
      <c r="N62" s="3"/>
    </row>
    <row r="63" customFormat="false" ht="15" hidden="false" customHeight="false" outlineLevel="0" collapsed="false">
      <c r="A63" s="6" t="s">
        <v>298</v>
      </c>
      <c r="B63" s="3" t="s">
        <v>273</v>
      </c>
      <c r="C63" s="3" t="s">
        <v>274</v>
      </c>
      <c r="D63" s="3" t="n">
        <v>1</v>
      </c>
      <c r="E63" s="3" t="n">
        <v>6</v>
      </c>
      <c r="F63" s="3" t="s">
        <v>299</v>
      </c>
      <c r="G63" s="3" t="s">
        <v>300</v>
      </c>
      <c r="H63" s="3" t="s">
        <v>301</v>
      </c>
      <c r="I63" s="7" t="s">
        <v>66</v>
      </c>
      <c r="J63" s="3" t="s">
        <v>67</v>
      </c>
      <c r="K63" s="3" t="s">
        <v>302</v>
      </c>
      <c r="L63" s="5" t="n">
        <v>-2.911</v>
      </c>
      <c r="M63" s="5" t="n">
        <v>-79.013</v>
      </c>
      <c r="N63" s="3"/>
    </row>
    <row r="64" customFormat="false" ht="15" hidden="false" customHeight="false" outlineLevel="0" collapsed="false">
      <c r="A64" s="6" t="s">
        <v>303</v>
      </c>
      <c r="B64" s="3" t="s">
        <v>304</v>
      </c>
      <c r="C64" s="3" t="s">
        <v>274</v>
      </c>
      <c r="D64" s="3" t="n">
        <v>2</v>
      </c>
      <c r="E64" s="3" t="n">
        <v>1</v>
      </c>
      <c r="F64" s="3" t="s">
        <v>305</v>
      </c>
      <c r="G64" s="3" t="s">
        <v>306</v>
      </c>
      <c r="H64" s="3" t="s">
        <v>307</v>
      </c>
      <c r="I64" s="7" t="s">
        <v>66</v>
      </c>
      <c r="J64" s="3" t="s">
        <v>141</v>
      </c>
      <c r="K64" s="3" t="s">
        <v>308</v>
      </c>
      <c r="L64" s="5" t="n">
        <v>-2.908</v>
      </c>
      <c r="M64" s="5" t="n">
        <v>-78.999</v>
      </c>
      <c r="N64" s="3"/>
    </row>
    <row r="65" customFormat="false" ht="15" hidden="false" customHeight="false" outlineLevel="0" collapsed="false">
      <c r="A65" s="6" t="s">
        <v>309</v>
      </c>
      <c r="B65" s="3" t="s">
        <v>310</v>
      </c>
      <c r="C65" s="3" t="s">
        <v>274</v>
      </c>
      <c r="D65" s="3" t="n">
        <v>3</v>
      </c>
      <c r="E65" s="3" t="n">
        <v>1</v>
      </c>
      <c r="F65" s="3" t="s">
        <v>311</v>
      </c>
      <c r="G65" s="3" t="s">
        <v>312</v>
      </c>
      <c r="H65" s="3" t="s">
        <v>313</v>
      </c>
      <c r="I65" s="7" t="s">
        <v>66</v>
      </c>
      <c r="J65" s="3" t="s">
        <v>67</v>
      </c>
      <c r="K65" s="3" t="s">
        <v>314</v>
      </c>
      <c r="L65" s="5" t="n">
        <v>-2.888</v>
      </c>
      <c r="M65" s="5" t="n">
        <v>-79.013</v>
      </c>
      <c r="N65" s="3"/>
    </row>
    <row r="66" customFormat="false" ht="15" hidden="false" customHeight="false" outlineLevel="0" collapsed="false">
      <c r="A66" s="6" t="s">
        <v>315</v>
      </c>
      <c r="B66" s="3" t="s">
        <v>310</v>
      </c>
      <c r="C66" s="3" t="s">
        <v>274</v>
      </c>
      <c r="D66" s="3" t="n">
        <v>3</v>
      </c>
      <c r="E66" s="3" t="n">
        <v>2</v>
      </c>
      <c r="F66" s="3" t="s">
        <v>316</v>
      </c>
      <c r="G66" s="3" t="s">
        <v>317</v>
      </c>
      <c r="H66" s="3" t="s">
        <v>318</v>
      </c>
      <c r="I66" s="7" t="s">
        <v>66</v>
      </c>
      <c r="J66" s="3" t="s">
        <v>319</v>
      </c>
      <c r="K66" s="3" t="s">
        <v>136</v>
      </c>
      <c r="L66" s="5" t="n">
        <v>-2.933</v>
      </c>
      <c r="M66" s="5" t="n">
        <v>-78.974</v>
      </c>
      <c r="N6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32"/>
    <col collapsed="false" customWidth="true" hidden="false" outlineLevel="0" max="7" min="7" style="0" width="46"/>
    <col collapsed="false" customWidth="true" hidden="false" outlineLevel="0" max="8" min="8" style="0" width="11"/>
    <col collapsed="false" customWidth="true" hidden="false" outlineLevel="0" max="9" min="9" style="0" width="20"/>
    <col collapsed="false" customWidth="true" hidden="false" outlineLevel="0" max="11" min="10" style="0" width="10"/>
    <col collapsed="false" customWidth="true" hidden="false" outlineLevel="0" max="12" min="12" style="0" width="5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320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</row>
    <row r="2" customFormat="false" ht="15" hidden="false" customHeight="false" outlineLevel="0" collapsed="false">
      <c r="A2" s="8" t="s">
        <v>321</v>
      </c>
      <c r="B2" s="3" t="s">
        <v>322</v>
      </c>
      <c r="C2" s="3" t="s">
        <v>323</v>
      </c>
      <c r="D2" s="3" t="n">
        <v>1</v>
      </c>
      <c r="E2" s="3" t="s">
        <v>143</v>
      </c>
      <c r="F2" s="3" t="s">
        <v>139</v>
      </c>
      <c r="G2" s="3" t="s">
        <v>140</v>
      </c>
      <c r="H2" s="9" t="s">
        <v>110</v>
      </c>
      <c r="I2" s="3" t="s">
        <v>141</v>
      </c>
      <c r="J2" s="5" t="n">
        <v>-3.267</v>
      </c>
      <c r="K2" s="5" t="n">
        <v>-79.3105</v>
      </c>
      <c r="L2" s="3"/>
    </row>
    <row r="3" customFormat="false" ht="15" hidden="false" customHeight="false" outlineLevel="0" collapsed="false">
      <c r="A3" s="8" t="s">
        <v>321</v>
      </c>
      <c r="B3" s="3" t="s">
        <v>322</v>
      </c>
      <c r="C3" s="3" t="s">
        <v>323</v>
      </c>
      <c r="D3" s="3" t="n">
        <v>1</v>
      </c>
      <c r="E3" s="3" t="s">
        <v>138</v>
      </c>
      <c r="F3" s="3" t="s">
        <v>139</v>
      </c>
      <c r="G3" s="3" t="s">
        <v>140</v>
      </c>
      <c r="H3" s="9" t="s">
        <v>110</v>
      </c>
      <c r="I3" s="3" t="s">
        <v>141</v>
      </c>
      <c r="J3" s="5" t="n">
        <v>-3.267</v>
      </c>
      <c r="K3" s="5" t="n">
        <v>-79.3105</v>
      </c>
      <c r="L3" s="3"/>
    </row>
    <row r="4" customFormat="false" ht="15" hidden="false" customHeight="false" outlineLevel="0" collapsed="false">
      <c r="A4" s="8" t="s">
        <v>324</v>
      </c>
      <c r="B4" s="3" t="s">
        <v>322</v>
      </c>
      <c r="C4" s="3" t="s">
        <v>323</v>
      </c>
      <c r="D4" s="3" t="n">
        <v>2</v>
      </c>
      <c r="E4" s="3" t="s">
        <v>112</v>
      </c>
      <c r="F4" s="3" t="s">
        <v>108</v>
      </c>
      <c r="G4" s="3" t="s">
        <v>109</v>
      </c>
      <c r="H4" s="9" t="s">
        <v>110</v>
      </c>
      <c r="I4" s="3" t="s">
        <v>111</v>
      </c>
      <c r="J4" s="5" t="n">
        <v>-3.2705</v>
      </c>
      <c r="K4" s="5" t="n">
        <v>-79.3125</v>
      </c>
      <c r="L4" s="3"/>
    </row>
    <row r="5" customFormat="false" ht="15" hidden="false" customHeight="false" outlineLevel="0" collapsed="false">
      <c r="A5" s="8" t="s">
        <v>324</v>
      </c>
      <c r="B5" s="3" t="s">
        <v>322</v>
      </c>
      <c r="C5" s="3" t="s">
        <v>323</v>
      </c>
      <c r="D5" s="3" t="n">
        <v>2</v>
      </c>
      <c r="E5" s="3" t="s">
        <v>113</v>
      </c>
      <c r="F5" s="3" t="s">
        <v>108</v>
      </c>
      <c r="G5" s="3" t="s">
        <v>109</v>
      </c>
      <c r="H5" s="9" t="s">
        <v>110</v>
      </c>
      <c r="I5" s="3" t="s">
        <v>111</v>
      </c>
      <c r="J5" s="5" t="n">
        <v>-3.2705</v>
      </c>
      <c r="K5" s="5" t="n">
        <v>-79.3125</v>
      </c>
      <c r="L5" s="3"/>
    </row>
    <row r="6" customFormat="false" ht="15" hidden="false" customHeight="false" outlineLevel="0" collapsed="false">
      <c r="A6" s="8" t="s">
        <v>324</v>
      </c>
      <c r="B6" s="3" t="s">
        <v>322</v>
      </c>
      <c r="C6" s="3" t="s">
        <v>323</v>
      </c>
      <c r="D6" s="3" t="n">
        <v>2</v>
      </c>
      <c r="E6" s="3" t="s">
        <v>114</v>
      </c>
      <c r="F6" s="3" t="s">
        <v>108</v>
      </c>
      <c r="G6" s="3" t="s">
        <v>109</v>
      </c>
      <c r="H6" s="9" t="s">
        <v>110</v>
      </c>
      <c r="I6" s="3" t="s">
        <v>111</v>
      </c>
      <c r="J6" s="5" t="n">
        <v>-3.2705</v>
      </c>
      <c r="K6" s="5" t="n">
        <v>-79.3125</v>
      </c>
      <c r="L6" s="3"/>
    </row>
    <row r="7" customFormat="false" ht="15" hidden="false" customHeight="false" outlineLevel="0" collapsed="false">
      <c r="A7" s="8" t="s">
        <v>324</v>
      </c>
      <c r="B7" s="3" t="s">
        <v>322</v>
      </c>
      <c r="C7" s="3" t="s">
        <v>323</v>
      </c>
      <c r="D7" s="3" t="n">
        <v>2</v>
      </c>
      <c r="E7" s="3" t="s">
        <v>107</v>
      </c>
      <c r="F7" s="3" t="s">
        <v>108</v>
      </c>
      <c r="G7" s="3" t="s">
        <v>109</v>
      </c>
      <c r="H7" s="9" t="s">
        <v>110</v>
      </c>
      <c r="I7" s="3" t="s">
        <v>111</v>
      </c>
      <c r="J7" s="5" t="n">
        <v>-3.2705</v>
      </c>
      <c r="K7" s="5" t="n">
        <v>-79.3125</v>
      </c>
      <c r="L7" s="3"/>
    </row>
    <row r="8" customFormat="false" ht="15" hidden="false" customHeight="false" outlineLevel="0" collapsed="false">
      <c r="A8" s="8" t="s">
        <v>325</v>
      </c>
      <c r="B8" s="3" t="s">
        <v>322</v>
      </c>
      <c r="C8" s="3" t="s">
        <v>323</v>
      </c>
      <c r="D8" s="3" t="n">
        <v>3</v>
      </c>
      <c r="E8" s="3" t="s">
        <v>145</v>
      </c>
      <c r="F8" s="3" t="s">
        <v>146</v>
      </c>
      <c r="G8" s="3" t="s">
        <v>147</v>
      </c>
      <c r="H8" s="9" t="s">
        <v>110</v>
      </c>
      <c r="I8" s="3" t="s">
        <v>111</v>
      </c>
      <c r="J8" s="5" t="n">
        <v>-3.274</v>
      </c>
      <c r="K8" s="5" t="n">
        <v>-79.312</v>
      </c>
      <c r="L8" s="3"/>
    </row>
    <row r="9" customFormat="false" ht="15" hidden="false" customHeight="false" outlineLevel="0" collapsed="false">
      <c r="A9" s="8" t="s">
        <v>326</v>
      </c>
      <c r="B9" s="3" t="s">
        <v>322</v>
      </c>
      <c r="C9" s="3" t="s">
        <v>323</v>
      </c>
      <c r="D9" s="3" t="n">
        <v>4</v>
      </c>
      <c r="E9" s="3" t="s">
        <v>124</v>
      </c>
      <c r="F9" s="3" t="s">
        <v>125</v>
      </c>
      <c r="G9" s="3" t="s">
        <v>126</v>
      </c>
      <c r="H9" s="9" t="s">
        <v>110</v>
      </c>
      <c r="I9" s="3" t="s">
        <v>127</v>
      </c>
      <c r="J9" s="5" t="n">
        <v>-3.2725</v>
      </c>
      <c r="K9" s="5" t="n">
        <v>-79.316</v>
      </c>
      <c r="L9" s="3"/>
    </row>
    <row r="10" customFormat="false" ht="15" hidden="false" customHeight="false" outlineLevel="0" collapsed="false">
      <c r="A10" s="8" t="s">
        <v>326</v>
      </c>
      <c r="B10" s="3" t="s">
        <v>322</v>
      </c>
      <c r="C10" s="3" t="s">
        <v>323</v>
      </c>
      <c r="D10" s="3" t="n">
        <v>4</v>
      </c>
      <c r="E10" s="3" t="s">
        <v>135</v>
      </c>
      <c r="F10" s="3" t="s">
        <v>125</v>
      </c>
      <c r="G10" s="3" t="s">
        <v>126</v>
      </c>
      <c r="H10" s="9" t="s">
        <v>110</v>
      </c>
      <c r="I10" s="3" t="s">
        <v>127</v>
      </c>
      <c r="J10" s="5" t="n">
        <v>-3.2725</v>
      </c>
      <c r="K10" s="5" t="n">
        <v>-79.316</v>
      </c>
      <c r="L10" s="3"/>
    </row>
    <row r="11" customFormat="false" ht="15" hidden="false" customHeight="false" outlineLevel="0" collapsed="false">
      <c r="A11" s="8" t="s">
        <v>326</v>
      </c>
      <c r="B11" s="3" t="s">
        <v>322</v>
      </c>
      <c r="C11" s="3" t="s">
        <v>323</v>
      </c>
      <c r="D11" s="3" t="n">
        <v>4</v>
      </c>
      <c r="E11" s="3" t="s">
        <v>134</v>
      </c>
      <c r="F11" s="3" t="s">
        <v>125</v>
      </c>
      <c r="G11" s="3" t="s">
        <v>126</v>
      </c>
      <c r="H11" s="9" t="s">
        <v>110</v>
      </c>
      <c r="I11" s="3" t="s">
        <v>127</v>
      </c>
      <c r="J11" s="5" t="n">
        <v>-3.2725</v>
      </c>
      <c r="K11" s="5" t="n">
        <v>-79.316</v>
      </c>
      <c r="L11" s="3"/>
    </row>
    <row r="12" customFormat="false" ht="15" hidden="false" customHeight="false" outlineLevel="0" collapsed="false">
      <c r="A12" s="8" t="s">
        <v>326</v>
      </c>
      <c r="B12" s="3" t="s">
        <v>322</v>
      </c>
      <c r="C12" s="3" t="s">
        <v>323</v>
      </c>
      <c r="D12" s="3" t="n">
        <v>4</v>
      </c>
      <c r="E12" s="3" t="s">
        <v>129</v>
      </c>
      <c r="F12" s="3" t="s">
        <v>130</v>
      </c>
      <c r="G12" s="3" t="s">
        <v>131</v>
      </c>
      <c r="H12" s="9" t="s">
        <v>110</v>
      </c>
      <c r="I12" s="3" t="s">
        <v>132</v>
      </c>
      <c r="J12" s="5" t="n">
        <v>-3.2725</v>
      </c>
      <c r="K12" s="5" t="n">
        <v>-79.316</v>
      </c>
      <c r="L12" s="10" t="s">
        <v>133</v>
      </c>
    </row>
    <row r="13" customFormat="false" ht="15" hidden="false" customHeight="false" outlineLevel="0" collapsed="false">
      <c r="A13" s="8" t="s">
        <v>327</v>
      </c>
      <c r="B13" s="3" t="s">
        <v>322</v>
      </c>
      <c r="C13" s="3" t="s">
        <v>323</v>
      </c>
      <c r="D13" s="3" t="n">
        <v>5</v>
      </c>
      <c r="E13" s="3" t="s">
        <v>117</v>
      </c>
      <c r="F13" s="3" t="s">
        <v>118</v>
      </c>
      <c r="G13" s="3" t="s">
        <v>119</v>
      </c>
      <c r="H13" s="9" t="s">
        <v>110</v>
      </c>
      <c r="I13" s="3" t="s">
        <v>120</v>
      </c>
      <c r="J13" s="5" t="n">
        <v>-3.2685</v>
      </c>
      <c r="K13" s="5" t="n">
        <v>-79.3155</v>
      </c>
      <c r="L13" s="10" t="s">
        <v>122</v>
      </c>
    </row>
    <row r="14" customFormat="false" ht="15" hidden="false" customHeight="false" outlineLevel="0" collapsed="false">
      <c r="A14" s="2" t="s">
        <v>328</v>
      </c>
      <c r="B14" s="3" t="s">
        <v>329</v>
      </c>
      <c r="C14" s="3" t="s">
        <v>330</v>
      </c>
      <c r="D14" s="3" t="n">
        <v>1</v>
      </c>
      <c r="E14" s="3" t="s">
        <v>17</v>
      </c>
      <c r="F14" s="3" t="s">
        <v>18</v>
      </c>
      <c r="G14" s="3" t="s">
        <v>19</v>
      </c>
      <c r="H14" s="4" t="s">
        <v>20</v>
      </c>
      <c r="I14" s="3" t="s">
        <v>21</v>
      </c>
      <c r="J14" s="5" t="n">
        <v>-2.783</v>
      </c>
      <c r="K14" s="5" t="n">
        <v>-78.86</v>
      </c>
      <c r="L14" s="3"/>
    </row>
    <row r="15" customFormat="false" ht="15" hidden="false" customHeight="false" outlineLevel="0" collapsed="false">
      <c r="A15" s="2" t="s">
        <v>331</v>
      </c>
      <c r="B15" s="3" t="s">
        <v>329</v>
      </c>
      <c r="C15" s="3" t="s">
        <v>330</v>
      </c>
      <c r="D15" s="3" t="n">
        <v>2</v>
      </c>
      <c r="E15" s="3" t="s">
        <v>39</v>
      </c>
      <c r="F15" s="3" t="s">
        <v>40</v>
      </c>
      <c r="G15" s="3" t="s">
        <v>41</v>
      </c>
      <c r="H15" s="4" t="s">
        <v>20</v>
      </c>
      <c r="I15" s="3" t="s">
        <v>42</v>
      </c>
      <c r="J15" s="5" t="n">
        <v>-2.75</v>
      </c>
      <c r="K15" s="5" t="n">
        <v>-78.853</v>
      </c>
      <c r="L15" s="3"/>
    </row>
    <row r="16" customFormat="false" ht="15" hidden="false" customHeight="false" outlineLevel="0" collapsed="false">
      <c r="A16" s="2" t="s">
        <v>332</v>
      </c>
      <c r="B16" s="3" t="s">
        <v>329</v>
      </c>
      <c r="C16" s="3" t="s">
        <v>330</v>
      </c>
      <c r="D16" s="3" t="n">
        <v>3</v>
      </c>
      <c r="E16" s="3" t="s">
        <v>74</v>
      </c>
      <c r="F16" s="3" t="s">
        <v>75</v>
      </c>
      <c r="G16" s="3" t="s">
        <v>76</v>
      </c>
      <c r="H16" s="4" t="s">
        <v>20</v>
      </c>
      <c r="I16" s="3" t="s">
        <v>21</v>
      </c>
      <c r="J16" s="5" t="n">
        <v>-2.746</v>
      </c>
      <c r="K16" s="5" t="n">
        <v>-78.85</v>
      </c>
      <c r="L16" s="3"/>
    </row>
    <row r="17" customFormat="false" ht="15" hidden="false" customHeight="false" outlineLevel="0" collapsed="false">
      <c r="A17" s="2" t="s">
        <v>333</v>
      </c>
      <c r="B17" s="3" t="s">
        <v>329</v>
      </c>
      <c r="C17" s="3" t="s">
        <v>330</v>
      </c>
      <c r="D17" s="3" t="n">
        <v>4</v>
      </c>
      <c r="E17" s="3" t="s">
        <v>29</v>
      </c>
      <c r="F17" s="3" t="s">
        <v>30</v>
      </c>
      <c r="G17" s="3" t="s">
        <v>31</v>
      </c>
      <c r="H17" s="4" t="s">
        <v>20</v>
      </c>
      <c r="I17" s="3" t="s">
        <v>21</v>
      </c>
      <c r="J17" s="5" t="n">
        <v>-2.7448</v>
      </c>
      <c r="K17" s="5" t="n">
        <v>-78.8496</v>
      </c>
      <c r="L17" s="3"/>
    </row>
    <row r="18" customFormat="false" ht="15" hidden="false" customHeight="false" outlineLevel="0" collapsed="false">
      <c r="A18" s="2" t="s">
        <v>334</v>
      </c>
      <c r="B18" s="3" t="s">
        <v>329</v>
      </c>
      <c r="C18" s="3" t="s">
        <v>330</v>
      </c>
      <c r="D18" s="3" t="n">
        <v>5</v>
      </c>
      <c r="E18" s="3" t="s">
        <v>24</v>
      </c>
      <c r="F18" s="3" t="s">
        <v>25</v>
      </c>
      <c r="G18" s="3" t="s">
        <v>26</v>
      </c>
      <c r="H18" s="4" t="s">
        <v>20</v>
      </c>
      <c r="I18" s="3" t="s">
        <v>21</v>
      </c>
      <c r="J18" s="5" t="n">
        <v>-2.7435</v>
      </c>
      <c r="K18" s="5" t="n">
        <v>-78.8492</v>
      </c>
      <c r="L18" s="3"/>
    </row>
    <row r="19" customFormat="false" ht="15" hidden="false" customHeight="false" outlineLevel="0" collapsed="false">
      <c r="A19" s="2" t="s">
        <v>335</v>
      </c>
      <c r="B19" s="3" t="s">
        <v>329</v>
      </c>
      <c r="C19" s="3" t="s">
        <v>330</v>
      </c>
      <c r="D19" s="3" t="n">
        <v>6</v>
      </c>
      <c r="E19" s="3" t="s">
        <v>50</v>
      </c>
      <c r="F19" s="3" t="s">
        <v>51</v>
      </c>
      <c r="G19" s="3" t="s">
        <v>52</v>
      </c>
      <c r="H19" s="4" t="s">
        <v>20</v>
      </c>
      <c r="I19" s="3" t="s">
        <v>42</v>
      </c>
      <c r="J19" s="5" t="n">
        <v>-2.7415</v>
      </c>
      <c r="K19" s="5" t="n">
        <v>-78.844</v>
      </c>
      <c r="L19" s="3"/>
    </row>
    <row r="20" customFormat="false" ht="15" hidden="false" customHeight="false" outlineLevel="0" collapsed="false">
      <c r="A20" s="2" t="s">
        <v>336</v>
      </c>
      <c r="B20" s="3" t="s">
        <v>329</v>
      </c>
      <c r="C20" s="3" t="s">
        <v>330</v>
      </c>
      <c r="D20" s="3" t="n">
        <v>7</v>
      </c>
      <c r="E20" s="3" t="s">
        <v>45</v>
      </c>
      <c r="F20" s="3" t="s">
        <v>46</v>
      </c>
      <c r="G20" s="3" t="s">
        <v>47</v>
      </c>
      <c r="H20" s="4" t="s">
        <v>20</v>
      </c>
      <c r="I20" s="3" t="s">
        <v>21</v>
      </c>
      <c r="J20" s="5" t="n">
        <v>-2.7375</v>
      </c>
      <c r="K20" s="5" t="n">
        <v>-78.847</v>
      </c>
      <c r="L20" s="3"/>
    </row>
    <row r="21" customFormat="false" ht="15" hidden="false" customHeight="false" outlineLevel="0" collapsed="false">
      <c r="A21" s="2" t="s">
        <v>337</v>
      </c>
      <c r="B21" s="3" t="s">
        <v>329</v>
      </c>
      <c r="C21" s="3" t="s">
        <v>330</v>
      </c>
      <c r="D21" s="3" t="n">
        <v>8</v>
      </c>
      <c r="E21" s="3" t="s">
        <v>34</v>
      </c>
      <c r="F21" s="3" t="s">
        <v>35</v>
      </c>
      <c r="G21" s="3" t="s">
        <v>36</v>
      </c>
      <c r="H21" s="4" t="s">
        <v>20</v>
      </c>
      <c r="I21" s="3" t="s">
        <v>21</v>
      </c>
      <c r="J21" s="5" t="n">
        <v>-2.733</v>
      </c>
      <c r="K21" s="5" t="n">
        <v>-78.8455</v>
      </c>
      <c r="L21" s="3"/>
    </row>
    <row r="22" customFormat="false" ht="15" hidden="false" customHeight="false" outlineLevel="0" collapsed="false">
      <c r="A22" s="2" t="s">
        <v>338</v>
      </c>
      <c r="B22" s="3" t="s">
        <v>329</v>
      </c>
      <c r="C22" s="3" t="s">
        <v>330</v>
      </c>
      <c r="D22" s="3" t="n">
        <v>9</v>
      </c>
      <c r="E22" s="3" t="s">
        <v>55</v>
      </c>
      <c r="F22" s="3" t="s">
        <v>56</v>
      </c>
      <c r="G22" s="3" t="s">
        <v>57</v>
      </c>
      <c r="H22" s="4" t="s">
        <v>20</v>
      </c>
      <c r="I22" s="3" t="s">
        <v>21</v>
      </c>
      <c r="J22" s="5" t="n">
        <v>-2.718</v>
      </c>
      <c r="K22" s="5" t="n">
        <v>-78.885</v>
      </c>
      <c r="L22" s="3"/>
    </row>
    <row r="23" customFormat="false" ht="15" hidden="false" customHeight="false" outlineLevel="0" collapsed="false">
      <c r="A23" s="2" t="s">
        <v>339</v>
      </c>
      <c r="B23" s="3" t="s">
        <v>329</v>
      </c>
      <c r="C23" s="3" t="s">
        <v>330</v>
      </c>
      <c r="D23" s="3" t="n">
        <v>10</v>
      </c>
      <c r="E23" s="3" t="s">
        <v>84</v>
      </c>
      <c r="F23" s="3" t="s">
        <v>85</v>
      </c>
      <c r="G23" s="3" t="s">
        <v>86</v>
      </c>
      <c r="H23" s="4" t="s">
        <v>20</v>
      </c>
      <c r="I23" s="3" t="s">
        <v>21</v>
      </c>
      <c r="J23" s="5" t="n">
        <v>-2.559</v>
      </c>
      <c r="K23" s="5" t="n">
        <v>-78.94</v>
      </c>
      <c r="L23" s="3"/>
    </row>
    <row r="24" customFormat="false" ht="15" hidden="false" customHeight="false" outlineLevel="0" collapsed="false">
      <c r="A24" s="2" t="s">
        <v>340</v>
      </c>
      <c r="B24" s="3" t="s">
        <v>341</v>
      </c>
      <c r="C24" s="3" t="s">
        <v>330</v>
      </c>
      <c r="D24" s="3" t="n">
        <v>1</v>
      </c>
      <c r="E24" s="3" t="s">
        <v>79</v>
      </c>
      <c r="F24" s="3" t="s">
        <v>80</v>
      </c>
      <c r="G24" s="3" t="s">
        <v>81</v>
      </c>
      <c r="H24" s="4" t="s">
        <v>20</v>
      </c>
      <c r="I24" s="3" t="s">
        <v>21</v>
      </c>
      <c r="J24" s="5" t="n">
        <v>-2.5525</v>
      </c>
      <c r="K24" s="5" t="n">
        <v>-78.937</v>
      </c>
      <c r="L24" s="3"/>
    </row>
    <row r="25" customFormat="false" ht="15" hidden="false" customHeight="false" outlineLevel="0" collapsed="false">
      <c r="A25" s="2" t="s">
        <v>342</v>
      </c>
      <c r="B25" s="3" t="s">
        <v>341</v>
      </c>
      <c r="C25" s="3" t="s">
        <v>330</v>
      </c>
      <c r="D25" s="3" t="n">
        <v>2</v>
      </c>
      <c r="E25" s="3" t="s">
        <v>151</v>
      </c>
      <c r="F25" s="3" t="s">
        <v>152</v>
      </c>
      <c r="G25" s="3" t="s">
        <v>153</v>
      </c>
      <c r="H25" s="4" t="s">
        <v>20</v>
      </c>
      <c r="I25" s="3" t="s">
        <v>21</v>
      </c>
      <c r="J25" s="5" t="n">
        <v>-2.547</v>
      </c>
      <c r="K25" s="5" t="n">
        <v>-78.92</v>
      </c>
      <c r="L25" s="3"/>
    </row>
    <row r="26" customFormat="false" ht="15" hidden="false" customHeight="false" outlineLevel="0" collapsed="false">
      <c r="A26" s="2" t="s">
        <v>343</v>
      </c>
      <c r="B26" s="3" t="s">
        <v>341</v>
      </c>
      <c r="C26" s="3" t="s">
        <v>330</v>
      </c>
      <c r="D26" s="3" t="n">
        <v>3</v>
      </c>
      <c r="E26" s="3" t="s">
        <v>89</v>
      </c>
      <c r="F26" s="3" t="s">
        <v>90</v>
      </c>
      <c r="G26" s="3" t="s">
        <v>91</v>
      </c>
      <c r="H26" s="4" t="s">
        <v>20</v>
      </c>
      <c r="I26" s="3" t="s">
        <v>21</v>
      </c>
      <c r="J26" s="5" t="n">
        <v>-2.513</v>
      </c>
      <c r="K26" s="5" t="n">
        <v>-78.9185</v>
      </c>
      <c r="L26" s="3"/>
    </row>
    <row r="27" customFormat="false" ht="15" hidden="false" customHeight="false" outlineLevel="0" collapsed="false">
      <c r="A27" s="2" t="s">
        <v>344</v>
      </c>
      <c r="B27" s="3" t="s">
        <v>341</v>
      </c>
      <c r="C27" s="3" t="s">
        <v>330</v>
      </c>
      <c r="D27" s="3" t="n">
        <v>4</v>
      </c>
      <c r="E27" s="3" t="s">
        <v>98</v>
      </c>
      <c r="F27" s="3" t="s">
        <v>94</v>
      </c>
      <c r="G27" s="3" t="s">
        <v>95</v>
      </c>
      <c r="H27" s="4" t="s">
        <v>20</v>
      </c>
      <c r="I27" s="3" t="s">
        <v>21</v>
      </c>
      <c r="J27" s="5" t="n">
        <v>-2.5085</v>
      </c>
      <c r="K27" s="5" t="n">
        <v>-78.915</v>
      </c>
      <c r="L27" s="3"/>
    </row>
    <row r="28" customFormat="false" ht="15" hidden="false" customHeight="false" outlineLevel="0" collapsed="false">
      <c r="A28" s="2" t="s">
        <v>344</v>
      </c>
      <c r="B28" s="3" t="s">
        <v>341</v>
      </c>
      <c r="C28" s="3" t="s">
        <v>330</v>
      </c>
      <c r="D28" s="3" t="n">
        <v>4</v>
      </c>
      <c r="E28" s="3" t="s">
        <v>93</v>
      </c>
      <c r="F28" s="3" t="s">
        <v>94</v>
      </c>
      <c r="G28" s="3" t="s">
        <v>95</v>
      </c>
      <c r="H28" s="4" t="s">
        <v>20</v>
      </c>
      <c r="I28" s="3" t="s">
        <v>96</v>
      </c>
      <c r="J28" s="5" t="n">
        <v>-2.5085</v>
      </c>
      <c r="K28" s="5" t="n">
        <v>-78.915</v>
      </c>
      <c r="L28" s="3"/>
    </row>
    <row r="29" customFormat="false" ht="15" hidden="false" customHeight="false" outlineLevel="0" collapsed="false">
      <c r="A29" s="2" t="s">
        <v>345</v>
      </c>
      <c r="B29" s="3" t="s">
        <v>341</v>
      </c>
      <c r="C29" s="3" t="s">
        <v>330</v>
      </c>
      <c r="D29" s="3" t="n">
        <v>5</v>
      </c>
      <c r="E29" s="3" t="s">
        <v>100</v>
      </c>
      <c r="F29" s="3" t="s">
        <v>101</v>
      </c>
      <c r="G29" s="3" t="s">
        <v>102</v>
      </c>
      <c r="H29" s="4" t="s">
        <v>20</v>
      </c>
      <c r="I29" s="3" t="s">
        <v>21</v>
      </c>
      <c r="J29" s="5" t="n">
        <v>-2.398</v>
      </c>
      <c r="K29" s="5" t="n">
        <v>-78.97</v>
      </c>
      <c r="L29" s="3"/>
    </row>
    <row r="30" customFormat="false" ht="15" hidden="false" customHeight="false" outlineLevel="0" collapsed="false">
      <c r="A30" s="2" t="s">
        <v>346</v>
      </c>
      <c r="B30" s="3" t="s">
        <v>341</v>
      </c>
      <c r="C30" s="3" t="s">
        <v>330</v>
      </c>
      <c r="D30" s="3" t="n">
        <v>6</v>
      </c>
      <c r="E30" s="3" t="s">
        <v>163</v>
      </c>
      <c r="F30" s="3" t="s">
        <v>161</v>
      </c>
      <c r="G30" s="3" t="s">
        <v>162</v>
      </c>
      <c r="H30" s="4" t="s">
        <v>20</v>
      </c>
      <c r="I30" s="3" t="s">
        <v>21</v>
      </c>
      <c r="J30" s="5" t="n">
        <v>-2.2805</v>
      </c>
      <c r="K30" s="5" t="n">
        <v>-78.9215</v>
      </c>
      <c r="L30" s="3"/>
    </row>
    <row r="31" customFormat="false" ht="15" hidden="false" customHeight="false" outlineLevel="0" collapsed="false">
      <c r="A31" s="2" t="s">
        <v>346</v>
      </c>
      <c r="B31" s="3" t="s">
        <v>341</v>
      </c>
      <c r="C31" s="3" t="s">
        <v>330</v>
      </c>
      <c r="D31" s="3" t="n">
        <v>6</v>
      </c>
      <c r="E31" s="3" t="s">
        <v>160</v>
      </c>
      <c r="F31" s="3" t="s">
        <v>161</v>
      </c>
      <c r="G31" s="3" t="s">
        <v>162</v>
      </c>
      <c r="H31" s="4" t="s">
        <v>20</v>
      </c>
      <c r="I31" s="3" t="s">
        <v>21</v>
      </c>
      <c r="J31" s="5" t="n">
        <v>-2.2805</v>
      </c>
      <c r="K31" s="5" t="n">
        <v>-78.9215</v>
      </c>
      <c r="L31" s="3"/>
    </row>
    <row r="32" customFormat="false" ht="15" hidden="false" customHeight="false" outlineLevel="0" collapsed="false">
      <c r="A32" s="2" t="s">
        <v>347</v>
      </c>
      <c r="B32" s="3" t="s">
        <v>341</v>
      </c>
      <c r="C32" s="3" t="s">
        <v>330</v>
      </c>
      <c r="D32" s="3" t="n">
        <v>7</v>
      </c>
      <c r="E32" s="3" t="s">
        <v>155</v>
      </c>
      <c r="F32" s="3" t="s">
        <v>156</v>
      </c>
      <c r="G32" s="3" t="s">
        <v>157</v>
      </c>
      <c r="H32" s="4" t="s">
        <v>20</v>
      </c>
      <c r="I32" s="3" t="s">
        <v>21</v>
      </c>
      <c r="J32" s="5" t="n">
        <v>-2.2745</v>
      </c>
      <c r="K32" s="5" t="n">
        <v>-78.925</v>
      </c>
      <c r="L32" s="3"/>
    </row>
    <row r="33" customFormat="false" ht="15" hidden="false" customHeight="false" outlineLevel="0" collapsed="false">
      <c r="A33" s="2" t="s">
        <v>348</v>
      </c>
      <c r="B33" s="3" t="s">
        <v>341</v>
      </c>
      <c r="C33" s="3" t="s">
        <v>330</v>
      </c>
      <c r="D33" s="3" t="n">
        <v>8</v>
      </c>
      <c r="E33" s="3" t="s">
        <v>165</v>
      </c>
      <c r="F33" s="3" t="s">
        <v>166</v>
      </c>
      <c r="G33" s="3" t="s">
        <v>167</v>
      </c>
      <c r="H33" s="4" t="s">
        <v>20</v>
      </c>
      <c r="I33" s="3" t="s">
        <v>21</v>
      </c>
      <c r="J33" s="5" t="n">
        <v>-2.208</v>
      </c>
      <c r="K33" s="5" t="n">
        <v>-78.85</v>
      </c>
      <c r="L33" s="3"/>
    </row>
    <row r="34" customFormat="false" ht="15" hidden="false" customHeight="false" outlineLevel="0" collapsed="false">
      <c r="A34" s="2" t="s">
        <v>349</v>
      </c>
      <c r="B34" s="3" t="s">
        <v>341</v>
      </c>
      <c r="C34" s="3" t="s">
        <v>330</v>
      </c>
      <c r="D34" s="3" t="n">
        <v>9</v>
      </c>
      <c r="E34" s="3" t="s">
        <v>170</v>
      </c>
      <c r="F34" s="3" t="s">
        <v>171</v>
      </c>
      <c r="G34" s="3" t="s">
        <v>172</v>
      </c>
      <c r="H34" s="4" t="s">
        <v>20</v>
      </c>
      <c r="I34" s="3" t="s">
        <v>21</v>
      </c>
      <c r="J34" s="5" t="n">
        <v>-2.2005</v>
      </c>
      <c r="K34" s="5" t="n">
        <v>-78.8443</v>
      </c>
      <c r="L34" s="3"/>
    </row>
    <row r="35" customFormat="false" ht="15" hidden="false" customHeight="false" outlineLevel="0" collapsed="false">
      <c r="A35" s="2" t="s">
        <v>349</v>
      </c>
      <c r="B35" s="3" t="s">
        <v>341</v>
      </c>
      <c r="C35" s="3" t="s">
        <v>330</v>
      </c>
      <c r="D35" s="3" t="n">
        <v>9</v>
      </c>
      <c r="E35" s="3" t="s">
        <v>174</v>
      </c>
      <c r="F35" s="3" t="s">
        <v>130</v>
      </c>
      <c r="G35" s="3" t="s">
        <v>131</v>
      </c>
      <c r="H35" s="4" t="s">
        <v>20</v>
      </c>
      <c r="I35" s="3" t="s">
        <v>132</v>
      </c>
      <c r="J35" s="5" t="n">
        <v>-2.2005</v>
      </c>
      <c r="K35" s="5" t="n">
        <v>-78.8443</v>
      </c>
      <c r="L35" s="10" t="s">
        <v>175</v>
      </c>
    </row>
    <row r="36" customFormat="false" ht="15" hidden="false" customHeight="false" outlineLevel="0" collapsed="false">
      <c r="A36" s="6" t="s">
        <v>350</v>
      </c>
      <c r="B36" s="3" t="s">
        <v>351</v>
      </c>
      <c r="C36" s="3" t="s">
        <v>352</v>
      </c>
      <c r="D36" s="3" t="n">
        <v>1</v>
      </c>
      <c r="E36" s="3" t="s">
        <v>206</v>
      </c>
      <c r="F36" s="3" t="s">
        <v>207</v>
      </c>
      <c r="G36" s="3" t="s">
        <v>208</v>
      </c>
      <c r="H36" s="7" t="s">
        <v>66</v>
      </c>
      <c r="I36" s="3" t="s">
        <v>67</v>
      </c>
      <c r="J36" s="5" t="n">
        <v>-2.879</v>
      </c>
      <c r="K36" s="5" t="n">
        <v>-78.925</v>
      </c>
      <c r="L36" s="3"/>
    </row>
    <row r="37" customFormat="false" ht="15" hidden="false" customHeight="false" outlineLevel="0" collapsed="false">
      <c r="A37" s="6" t="s">
        <v>353</v>
      </c>
      <c r="B37" s="3" t="s">
        <v>351</v>
      </c>
      <c r="C37" s="3" t="s">
        <v>352</v>
      </c>
      <c r="D37" s="3" t="n">
        <v>2</v>
      </c>
      <c r="E37" s="3" t="s">
        <v>196</v>
      </c>
      <c r="F37" s="3" t="s">
        <v>197</v>
      </c>
      <c r="G37" s="3" t="s">
        <v>198</v>
      </c>
      <c r="H37" s="7" t="s">
        <v>66</v>
      </c>
      <c r="I37" s="3" t="s">
        <v>67</v>
      </c>
      <c r="J37" s="5" t="n">
        <v>-2.8865</v>
      </c>
      <c r="K37" s="5" t="n">
        <v>-78.97</v>
      </c>
      <c r="L37" s="3"/>
    </row>
    <row r="38" customFormat="false" ht="15" hidden="false" customHeight="false" outlineLevel="0" collapsed="false">
      <c r="A38" s="6" t="s">
        <v>354</v>
      </c>
      <c r="B38" s="3" t="s">
        <v>351</v>
      </c>
      <c r="C38" s="3" t="s">
        <v>352</v>
      </c>
      <c r="D38" s="3" t="n">
        <v>3</v>
      </c>
      <c r="E38" s="3" t="s">
        <v>183</v>
      </c>
      <c r="F38" s="3" t="s">
        <v>180</v>
      </c>
      <c r="G38" s="3" t="s">
        <v>181</v>
      </c>
      <c r="H38" s="7" t="s">
        <v>66</v>
      </c>
      <c r="I38" s="3" t="s">
        <v>67</v>
      </c>
      <c r="J38" s="5" t="n">
        <v>-2.8845</v>
      </c>
      <c r="K38" s="5" t="n">
        <v>-78.976</v>
      </c>
      <c r="L38" s="3"/>
    </row>
    <row r="39" customFormat="false" ht="15" hidden="false" customHeight="false" outlineLevel="0" collapsed="false">
      <c r="A39" s="6" t="s">
        <v>354</v>
      </c>
      <c r="B39" s="3" t="s">
        <v>351</v>
      </c>
      <c r="C39" s="3" t="s">
        <v>352</v>
      </c>
      <c r="D39" s="3" t="n">
        <v>3</v>
      </c>
      <c r="E39" s="3" t="s">
        <v>179</v>
      </c>
      <c r="F39" s="3" t="s">
        <v>180</v>
      </c>
      <c r="G39" s="3" t="s">
        <v>181</v>
      </c>
      <c r="H39" s="7" t="s">
        <v>66</v>
      </c>
      <c r="I39" s="3" t="s">
        <v>67</v>
      </c>
      <c r="J39" s="5" t="n">
        <v>-2.8845</v>
      </c>
      <c r="K39" s="5" t="n">
        <v>-78.976</v>
      </c>
      <c r="L39" s="3"/>
    </row>
    <row r="40" customFormat="false" ht="15" hidden="false" customHeight="false" outlineLevel="0" collapsed="false">
      <c r="A40" s="6" t="s">
        <v>355</v>
      </c>
      <c r="B40" s="3" t="s">
        <v>351</v>
      </c>
      <c r="C40" s="3" t="s">
        <v>352</v>
      </c>
      <c r="D40" s="3" t="n">
        <v>4</v>
      </c>
      <c r="E40" s="3" t="s">
        <v>185</v>
      </c>
      <c r="F40" s="3" t="s">
        <v>186</v>
      </c>
      <c r="G40" s="3" t="s">
        <v>187</v>
      </c>
      <c r="H40" s="7" t="s">
        <v>66</v>
      </c>
      <c r="I40" s="3" t="s">
        <v>127</v>
      </c>
      <c r="J40" s="5" t="n">
        <v>-2.883</v>
      </c>
      <c r="K40" s="5" t="n">
        <v>-78.9755</v>
      </c>
      <c r="L40" s="3"/>
    </row>
    <row r="41" customFormat="false" ht="15" hidden="false" customHeight="false" outlineLevel="0" collapsed="false">
      <c r="A41" s="6" t="s">
        <v>356</v>
      </c>
      <c r="B41" s="3" t="s">
        <v>351</v>
      </c>
      <c r="C41" s="3" t="s">
        <v>352</v>
      </c>
      <c r="D41" s="3" t="n">
        <v>5</v>
      </c>
      <c r="E41" s="3" t="s">
        <v>222</v>
      </c>
      <c r="F41" s="3" t="s">
        <v>223</v>
      </c>
      <c r="G41" s="3" t="s">
        <v>224</v>
      </c>
      <c r="H41" s="7" t="s">
        <v>66</v>
      </c>
      <c r="I41" s="3" t="s">
        <v>127</v>
      </c>
      <c r="J41" s="5" t="n">
        <v>-2.879</v>
      </c>
      <c r="K41" s="5" t="n">
        <v>-78.974</v>
      </c>
      <c r="L41" s="3"/>
    </row>
    <row r="42" customFormat="false" ht="15" hidden="false" customHeight="false" outlineLevel="0" collapsed="false">
      <c r="A42" s="6" t="s">
        <v>357</v>
      </c>
      <c r="B42" s="3" t="s">
        <v>351</v>
      </c>
      <c r="C42" s="3" t="s">
        <v>352</v>
      </c>
      <c r="D42" s="3" t="n">
        <v>6</v>
      </c>
      <c r="E42" s="3" t="s">
        <v>201</v>
      </c>
      <c r="F42" s="3" t="s">
        <v>202</v>
      </c>
      <c r="G42" s="3" t="s">
        <v>203</v>
      </c>
      <c r="H42" s="7" t="s">
        <v>66</v>
      </c>
      <c r="I42" s="3" t="s">
        <v>67</v>
      </c>
      <c r="J42" s="5" t="n">
        <v>-2.8865</v>
      </c>
      <c r="K42" s="5" t="n">
        <v>-78.9835</v>
      </c>
      <c r="L42" s="3"/>
    </row>
    <row r="43" customFormat="false" ht="15" hidden="false" customHeight="false" outlineLevel="0" collapsed="false">
      <c r="A43" s="6" t="s">
        <v>358</v>
      </c>
      <c r="B43" s="3" t="s">
        <v>351</v>
      </c>
      <c r="C43" s="3" t="s">
        <v>352</v>
      </c>
      <c r="D43" s="3" t="n">
        <v>7</v>
      </c>
      <c r="E43" s="3" t="s">
        <v>257</v>
      </c>
      <c r="F43" s="3" t="s">
        <v>258</v>
      </c>
      <c r="G43" s="3" t="s">
        <v>259</v>
      </c>
      <c r="H43" s="7" t="s">
        <v>66</v>
      </c>
      <c r="I43" s="3" t="s">
        <v>193</v>
      </c>
      <c r="J43" s="5" t="n">
        <v>-2.873</v>
      </c>
      <c r="K43" s="5" t="n">
        <v>-78.99</v>
      </c>
      <c r="L43" s="3"/>
    </row>
    <row r="44" customFormat="false" ht="15" hidden="false" customHeight="false" outlineLevel="0" collapsed="false">
      <c r="A44" s="6" t="s">
        <v>359</v>
      </c>
      <c r="B44" s="3" t="s">
        <v>351</v>
      </c>
      <c r="C44" s="3" t="s">
        <v>352</v>
      </c>
      <c r="D44" s="3" t="n">
        <v>8</v>
      </c>
      <c r="E44" s="3" t="s">
        <v>190</v>
      </c>
      <c r="F44" s="3" t="s">
        <v>191</v>
      </c>
      <c r="G44" s="3" t="s">
        <v>192</v>
      </c>
      <c r="H44" s="7" t="s">
        <v>66</v>
      </c>
      <c r="I44" s="3" t="s">
        <v>193</v>
      </c>
      <c r="J44" s="5" t="n">
        <v>-2.894</v>
      </c>
      <c r="K44" s="5" t="n">
        <v>-79.001</v>
      </c>
      <c r="L44" s="3"/>
    </row>
    <row r="45" customFormat="false" ht="15" hidden="false" customHeight="false" outlineLevel="0" collapsed="false">
      <c r="A45" s="6" t="s">
        <v>360</v>
      </c>
      <c r="B45" s="3" t="s">
        <v>361</v>
      </c>
      <c r="C45" s="3" t="s">
        <v>352</v>
      </c>
      <c r="D45" s="3" t="n">
        <v>1</v>
      </c>
      <c r="E45" s="3" t="s">
        <v>284</v>
      </c>
      <c r="F45" s="3" t="s">
        <v>285</v>
      </c>
      <c r="G45" s="3" t="s">
        <v>286</v>
      </c>
      <c r="H45" s="7" t="s">
        <v>66</v>
      </c>
      <c r="I45" s="3" t="s">
        <v>193</v>
      </c>
      <c r="J45" s="5" t="n">
        <v>-2.8955</v>
      </c>
      <c r="K45" s="5" t="n">
        <v>-78.9995</v>
      </c>
      <c r="L45" s="3"/>
    </row>
    <row r="46" customFormat="false" ht="15" hidden="false" customHeight="false" outlineLevel="0" collapsed="false">
      <c r="A46" s="6" t="s">
        <v>362</v>
      </c>
      <c r="B46" s="3" t="s">
        <v>361</v>
      </c>
      <c r="C46" s="3" t="s">
        <v>352</v>
      </c>
      <c r="D46" s="3" t="n">
        <v>2</v>
      </c>
      <c r="E46" s="3" t="s">
        <v>227</v>
      </c>
      <c r="F46" s="3" t="s">
        <v>228</v>
      </c>
      <c r="G46" s="3" t="s">
        <v>229</v>
      </c>
      <c r="H46" s="7" t="s">
        <v>66</v>
      </c>
      <c r="I46" s="3" t="s">
        <v>67</v>
      </c>
      <c r="J46" s="5" t="n">
        <v>-2.8965</v>
      </c>
      <c r="K46" s="5" t="n">
        <v>-79.004</v>
      </c>
      <c r="L46" s="3"/>
    </row>
    <row r="47" customFormat="false" ht="15" hidden="false" customHeight="false" outlineLevel="0" collapsed="false">
      <c r="A47" s="6" t="s">
        <v>363</v>
      </c>
      <c r="B47" s="3" t="s">
        <v>361</v>
      </c>
      <c r="C47" s="3" t="s">
        <v>352</v>
      </c>
      <c r="D47" s="3" t="n">
        <v>3</v>
      </c>
      <c r="E47" s="3" t="s">
        <v>275</v>
      </c>
      <c r="F47" s="3" t="s">
        <v>276</v>
      </c>
      <c r="G47" s="3" t="s">
        <v>277</v>
      </c>
      <c r="H47" s="7" t="s">
        <v>66</v>
      </c>
      <c r="I47" s="3" t="s">
        <v>237</v>
      </c>
      <c r="J47" s="5" t="n">
        <v>-2.8965</v>
      </c>
      <c r="K47" s="5" t="n">
        <v>-79.011</v>
      </c>
      <c r="L47" s="3"/>
    </row>
    <row r="48" customFormat="false" ht="15" hidden="false" customHeight="false" outlineLevel="0" collapsed="false">
      <c r="A48" s="6" t="s">
        <v>364</v>
      </c>
      <c r="B48" s="3" t="s">
        <v>361</v>
      </c>
      <c r="C48" s="3" t="s">
        <v>352</v>
      </c>
      <c r="D48" s="3" t="n">
        <v>4</v>
      </c>
      <c r="E48" s="3" t="s">
        <v>311</v>
      </c>
      <c r="F48" s="3" t="s">
        <v>312</v>
      </c>
      <c r="G48" s="3" t="s">
        <v>313</v>
      </c>
      <c r="H48" s="7" t="s">
        <v>66</v>
      </c>
      <c r="I48" s="3" t="s">
        <v>67</v>
      </c>
      <c r="J48" s="5" t="n">
        <v>-2.888</v>
      </c>
      <c r="K48" s="5" t="n">
        <v>-79.013</v>
      </c>
      <c r="L48" s="3"/>
    </row>
    <row r="49" customFormat="false" ht="15" hidden="false" customHeight="false" outlineLevel="0" collapsed="false">
      <c r="A49" s="6" t="s">
        <v>365</v>
      </c>
      <c r="B49" s="3" t="s">
        <v>361</v>
      </c>
      <c r="C49" s="3" t="s">
        <v>352</v>
      </c>
      <c r="D49" s="3" t="n">
        <v>5</v>
      </c>
      <c r="E49" s="3" t="s">
        <v>280</v>
      </c>
      <c r="F49" s="3" t="s">
        <v>281</v>
      </c>
      <c r="G49" s="3" t="s">
        <v>282</v>
      </c>
      <c r="H49" s="7" t="s">
        <v>66</v>
      </c>
      <c r="I49" s="3" t="s">
        <v>67</v>
      </c>
      <c r="J49" s="5" t="n">
        <v>-2.879</v>
      </c>
      <c r="K49" s="5" t="n">
        <v>-79.018</v>
      </c>
      <c r="L49" s="3"/>
    </row>
    <row r="50" customFormat="false" ht="15" hidden="false" customHeight="false" outlineLevel="0" collapsed="false">
      <c r="A50" s="6" t="s">
        <v>366</v>
      </c>
      <c r="B50" s="3" t="s">
        <v>361</v>
      </c>
      <c r="C50" s="3" t="s">
        <v>352</v>
      </c>
      <c r="D50" s="3" t="n">
        <v>6</v>
      </c>
      <c r="E50" s="3" t="s">
        <v>289</v>
      </c>
      <c r="F50" s="3" t="s">
        <v>290</v>
      </c>
      <c r="G50" s="3" t="s">
        <v>291</v>
      </c>
      <c r="H50" s="7" t="s">
        <v>66</v>
      </c>
      <c r="I50" s="3" t="s">
        <v>193</v>
      </c>
      <c r="J50" s="5" t="n">
        <v>-2.873</v>
      </c>
      <c r="K50" s="5" t="n">
        <v>-79.023</v>
      </c>
      <c r="L50" s="3"/>
    </row>
    <row r="51" customFormat="false" ht="15" hidden="false" customHeight="false" outlineLevel="0" collapsed="false">
      <c r="A51" s="6" t="s">
        <v>367</v>
      </c>
      <c r="B51" s="3" t="s">
        <v>361</v>
      </c>
      <c r="C51" s="3" t="s">
        <v>352</v>
      </c>
      <c r="D51" s="3" t="n">
        <v>7</v>
      </c>
      <c r="E51" s="3" t="s">
        <v>242</v>
      </c>
      <c r="F51" s="3" t="s">
        <v>243</v>
      </c>
      <c r="G51" s="3" t="s">
        <v>244</v>
      </c>
      <c r="H51" s="7" t="s">
        <v>66</v>
      </c>
      <c r="I51" s="3" t="s">
        <v>193</v>
      </c>
      <c r="J51" s="5" t="n">
        <v>-2.852</v>
      </c>
      <c r="K51" s="5" t="n">
        <v>-79.018</v>
      </c>
      <c r="L51" s="3"/>
    </row>
    <row r="52" customFormat="false" ht="15" hidden="false" customHeight="false" outlineLevel="0" collapsed="false">
      <c r="A52" s="6" t="s">
        <v>368</v>
      </c>
      <c r="B52" s="3" t="s">
        <v>361</v>
      </c>
      <c r="C52" s="3" t="s">
        <v>352</v>
      </c>
      <c r="D52" s="3" t="n">
        <v>8</v>
      </c>
      <c r="E52" s="3" t="s">
        <v>246</v>
      </c>
      <c r="F52" s="3" t="s">
        <v>247</v>
      </c>
      <c r="G52" s="3" t="s">
        <v>248</v>
      </c>
      <c r="H52" s="7" t="s">
        <v>66</v>
      </c>
      <c r="I52" s="3" t="s">
        <v>193</v>
      </c>
      <c r="J52" s="5" t="n">
        <v>-2.839</v>
      </c>
      <c r="K52" s="5" t="n">
        <v>-79.025</v>
      </c>
      <c r="L52" s="3"/>
    </row>
    <row r="53" customFormat="false" ht="15" hidden="false" customHeight="false" outlineLevel="0" collapsed="false">
      <c r="A53" s="6" t="s">
        <v>369</v>
      </c>
      <c r="B53" s="3" t="s">
        <v>370</v>
      </c>
      <c r="C53" s="3" t="s">
        <v>352</v>
      </c>
      <c r="D53" s="3" t="n">
        <v>1</v>
      </c>
      <c r="E53" s="3" t="s">
        <v>251</v>
      </c>
      <c r="F53" s="3" t="s">
        <v>252</v>
      </c>
      <c r="G53" s="3" t="s">
        <v>253</v>
      </c>
      <c r="H53" s="7" t="s">
        <v>66</v>
      </c>
      <c r="I53" s="3" t="s">
        <v>127</v>
      </c>
      <c r="J53" s="5" t="n">
        <v>-2.848</v>
      </c>
      <c r="K53" s="5" t="n">
        <v>-78.964</v>
      </c>
      <c r="L53" s="3"/>
    </row>
    <row r="54" customFormat="false" ht="15" hidden="false" customHeight="false" outlineLevel="0" collapsed="false">
      <c r="A54" s="6" t="s">
        <v>371</v>
      </c>
      <c r="B54" s="3" t="s">
        <v>370</v>
      </c>
      <c r="C54" s="3" t="s">
        <v>352</v>
      </c>
      <c r="D54" s="3" t="n">
        <v>2</v>
      </c>
      <c r="E54" s="3" t="s">
        <v>262</v>
      </c>
      <c r="F54" s="3" t="s">
        <v>263</v>
      </c>
      <c r="G54" s="3" t="s">
        <v>264</v>
      </c>
      <c r="H54" s="7" t="s">
        <v>66</v>
      </c>
      <c r="I54" s="3" t="s">
        <v>193</v>
      </c>
      <c r="J54" s="5" t="n">
        <v>-2.841</v>
      </c>
      <c r="K54" s="5" t="n">
        <v>-78.988</v>
      </c>
      <c r="L54" s="10" t="s">
        <v>266</v>
      </c>
    </row>
    <row r="55" customFormat="false" ht="15" hidden="false" customHeight="false" outlineLevel="0" collapsed="false">
      <c r="A55" s="6" t="s">
        <v>372</v>
      </c>
      <c r="B55" s="3" t="s">
        <v>370</v>
      </c>
      <c r="C55" s="3" t="s">
        <v>352</v>
      </c>
      <c r="D55" s="3" t="n">
        <v>3</v>
      </c>
      <c r="E55" s="3" t="s">
        <v>268</v>
      </c>
      <c r="F55" s="3" t="s">
        <v>269</v>
      </c>
      <c r="G55" s="3" t="s">
        <v>270</v>
      </c>
      <c r="H55" s="7" t="s">
        <v>66</v>
      </c>
      <c r="I55" s="3" t="s">
        <v>193</v>
      </c>
      <c r="J55" s="5" t="n">
        <v>-2.808</v>
      </c>
      <c r="K55" s="5" t="n">
        <v>-79.011</v>
      </c>
      <c r="L55" s="3"/>
    </row>
    <row r="56" customFormat="false" ht="15" hidden="false" customHeight="false" outlineLevel="0" collapsed="false">
      <c r="A56" s="6" t="s">
        <v>373</v>
      </c>
      <c r="B56" s="3" t="s">
        <v>370</v>
      </c>
      <c r="C56" s="3" t="s">
        <v>352</v>
      </c>
      <c r="D56" s="3" t="n">
        <v>4</v>
      </c>
      <c r="E56" s="3" t="s">
        <v>217</v>
      </c>
      <c r="F56" s="3" t="s">
        <v>218</v>
      </c>
      <c r="G56" s="3" t="s">
        <v>219</v>
      </c>
      <c r="H56" s="7" t="s">
        <v>66</v>
      </c>
      <c r="I56" s="3" t="s">
        <v>141</v>
      </c>
      <c r="J56" s="5" t="n">
        <v>-2.902</v>
      </c>
      <c r="K56" s="5" t="n">
        <v>-79.023</v>
      </c>
      <c r="L56" s="3"/>
    </row>
    <row r="57" customFormat="false" ht="15" hidden="false" customHeight="false" outlineLevel="0" collapsed="false">
      <c r="A57" s="6" t="s">
        <v>374</v>
      </c>
      <c r="B57" s="3" t="s">
        <v>370</v>
      </c>
      <c r="C57" s="3" t="s">
        <v>352</v>
      </c>
      <c r="D57" s="3" t="n">
        <v>5</v>
      </c>
      <c r="E57" s="3" t="s">
        <v>299</v>
      </c>
      <c r="F57" s="3" t="s">
        <v>300</v>
      </c>
      <c r="G57" s="3" t="s">
        <v>301</v>
      </c>
      <c r="H57" s="7" t="s">
        <v>66</v>
      </c>
      <c r="I57" s="3" t="s">
        <v>67</v>
      </c>
      <c r="J57" s="5" t="n">
        <v>-2.911</v>
      </c>
      <c r="K57" s="5" t="n">
        <v>-79.013</v>
      </c>
      <c r="L57" s="3"/>
    </row>
    <row r="58" customFormat="false" ht="15" hidden="false" customHeight="false" outlineLevel="0" collapsed="false">
      <c r="A58" s="6" t="s">
        <v>375</v>
      </c>
      <c r="B58" s="3" t="s">
        <v>370</v>
      </c>
      <c r="C58" s="3" t="s">
        <v>352</v>
      </c>
      <c r="D58" s="3" t="n">
        <v>6</v>
      </c>
      <c r="E58" s="3" t="s">
        <v>63</v>
      </c>
      <c r="F58" s="3" t="s">
        <v>64</v>
      </c>
      <c r="G58" s="3" t="s">
        <v>65</v>
      </c>
      <c r="H58" s="7" t="s">
        <v>66</v>
      </c>
      <c r="I58" s="3" t="s">
        <v>67</v>
      </c>
      <c r="J58" s="5" t="n">
        <v>-2.908</v>
      </c>
      <c r="K58" s="5" t="n">
        <v>-79</v>
      </c>
      <c r="L58" s="3"/>
    </row>
    <row r="59" customFormat="false" ht="15" hidden="false" customHeight="false" outlineLevel="0" collapsed="false">
      <c r="A59" s="6" t="s">
        <v>376</v>
      </c>
      <c r="B59" s="3" t="s">
        <v>370</v>
      </c>
      <c r="C59" s="3" t="s">
        <v>352</v>
      </c>
      <c r="D59" s="3" t="n">
        <v>7</v>
      </c>
      <c r="E59" s="3" t="s">
        <v>305</v>
      </c>
      <c r="F59" s="3" t="s">
        <v>306</v>
      </c>
      <c r="G59" s="3" t="s">
        <v>307</v>
      </c>
      <c r="H59" s="7" t="s">
        <v>66</v>
      </c>
      <c r="I59" s="3" t="s">
        <v>141</v>
      </c>
      <c r="J59" s="5" t="n">
        <v>-2.908</v>
      </c>
      <c r="K59" s="5" t="n">
        <v>-78.999</v>
      </c>
      <c r="L59" s="3"/>
    </row>
    <row r="60" customFormat="false" ht="15" hidden="false" customHeight="false" outlineLevel="0" collapsed="false">
      <c r="A60" s="6" t="s">
        <v>377</v>
      </c>
      <c r="B60" s="3" t="s">
        <v>370</v>
      </c>
      <c r="C60" s="3" t="s">
        <v>352</v>
      </c>
      <c r="D60" s="3" t="n">
        <v>8</v>
      </c>
      <c r="E60" s="3" t="s">
        <v>234</v>
      </c>
      <c r="F60" s="3" t="s">
        <v>235</v>
      </c>
      <c r="G60" s="3" t="s">
        <v>236</v>
      </c>
      <c r="H60" s="7" t="s">
        <v>66</v>
      </c>
      <c r="I60" s="3" t="s">
        <v>237</v>
      </c>
      <c r="J60" s="5" t="n">
        <v>-2.906</v>
      </c>
      <c r="K60" s="5" t="n">
        <v>-79.043</v>
      </c>
      <c r="L60" s="10" t="s">
        <v>239</v>
      </c>
    </row>
    <row r="61" customFormat="false" ht="15" hidden="false" customHeight="false" outlineLevel="0" collapsed="false">
      <c r="A61" s="6" t="s">
        <v>378</v>
      </c>
      <c r="B61" s="3" t="s">
        <v>379</v>
      </c>
      <c r="C61" s="3" t="s">
        <v>352</v>
      </c>
      <c r="D61" s="3" t="n">
        <v>1</v>
      </c>
      <c r="E61" s="3" t="s">
        <v>316</v>
      </c>
      <c r="F61" s="3" t="s">
        <v>317</v>
      </c>
      <c r="G61" s="3" t="s">
        <v>318</v>
      </c>
      <c r="H61" s="7" t="s">
        <v>66</v>
      </c>
      <c r="I61" s="3" t="s">
        <v>319</v>
      </c>
      <c r="J61" s="5" t="n">
        <v>-2.933</v>
      </c>
      <c r="K61" s="5" t="n">
        <v>-78.974</v>
      </c>
      <c r="L61" s="3"/>
    </row>
    <row r="62" customFormat="false" ht="15" hidden="false" customHeight="false" outlineLevel="0" collapsed="false">
      <c r="A62" s="6" t="s">
        <v>380</v>
      </c>
      <c r="B62" s="3" t="s">
        <v>379</v>
      </c>
      <c r="C62" s="3" t="s">
        <v>352</v>
      </c>
      <c r="D62" s="3" t="n">
        <v>2</v>
      </c>
      <c r="E62" s="3" t="s">
        <v>294</v>
      </c>
      <c r="F62" s="3" t="s">
        <v>295</v>
      </c>
      <c r="G62" s="3" t="s">
        <v>296</v>
      </c>
      <c r="H62" s="7" t="s">
        <v>66</v>
      </c>
      <c r="I62" s="3" t="s">
        <v>67</v>
      </c>
      <c r="J62" s="5" t="n">
        <v>-2.87</v>
      </c>
      <c r="K62" s="5" t="n">
        <v>-79.07</v>
      </c>
      <c r="L62" s="3"/>
    </row>
    <row r="63" customFormat="false" ht="15" hidden="false" customHeight="false" outlineLevel="0" collapsed="false">
      <c r="A63" s="6" t="s">
        <v>381</v>
      </c>
      <c r="B63" s="3" t="s">
        <v>379</v>
      </c>
      <c r="C63" s="3" t="s">
        <v>352</v>
      </c>
      <c r="D63" s="3" t="n">
        <v>3</v>
      </c>
      <c r="E63" s="3" t="s">
        <v>211</v>
      </c>
      <c r="F63" s="3" t="s">
        <v>212</v>
      </c>
      <c r="G63" s="3" t="s">
        <v>213</v>
      </c>
      <c r="H63" s="7" t="s">
        <v>66</v>
      </c>
      <c r="I63" s="3" t="s">
        <v>193</v>
      </c>
      <c r="J63" s="5" t="n">
        <v>-2.783</v>
      </c>
      <c r="K63" s="5" t="n">
        <v>-79.062</v>
      </c>
      <c r="L6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20"/>
    <col collapsed="false" customWidth="true" hidden="false" outlineLevel="0" max="8" min="8" style="0" width="6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4"/>
  </cols>
  <sheetData>
    <row r="1" customFormat="false" ht="27.75" hidden="false" customHeight="true" outlineLevel="0" collapsed="false">
      <c r="A1" s="1" t="s">
        <v>5</v>
      </c>
      <c r="B1" s="1" t="s">
        <v>6</v>
      </c>
      <c r="C1" s="1" t="s">
        <v>7</v>
      </c>
      <c r="D1" s="1" t="s">
        <v>8</v>
      </c>
      <c r="E1" s="1" t="s">
        <v>382</v>
      </c>
      <c r="F1" s="1" t="s">
        <v>383</v>
      </c>
      <c r="G1" s="1" t="s">
        <v>384</v>
      </c>
      <c r="H1" s="1" t="s">
        <v>3</v>
      </c>
      <c r="I1" s="1" t="s">
        <v>385</v>
      </c>
      <c r="J1" s="1" t="s">
        <v>386</v>
      </c>
      <c r="K1" s="1" t="s">
        <v>387</v>
      </c>
      <c r="L1" s="1" t="s">
        <v>388</v>
      </c>
      <c r="M1" s="1" t="s">
        <v>389</v>
      </c>
      <c r="N1" s="1" t="s">
        <v>390</v>
      </c>
    </row>
    <row r="2" customFormat="false" ht="15" hidden="false" customHeight="false" outlineLevel="0" collapsed="false">
      <c r="A2" s="3" t="s">
        <v>124</v>
      </c>
      <c r="B2" s="3" t="s">
        <v>125</v>
      </c>
      <c r="C2" s="3" t="s">
        <v>126</v>
      </c>
      <c r="D2" s="9" t="s">
        <v>110</v>
      </c>
      <c r="E2" s="11" t="s">
        <v>123</v>
      </c>
      <c r="F2" s="3" t="s">
        <v>105</v>
      </c>
      <c r="G2" s="3" t="s">
        <v>106</v>
      </c>
      <c r="H2" s="3" t="n">
        <v>1</v>
      </c>
      <c r="I2" s="3" t="s">
        <v>128</v>
      </c>
      <c r="J2" s="3" t="s">
        <v>326</v>
      </c>
      <c r="K2" s="3" t="s">
        <v>322</v>
      </c>
      <c r="L2" s="12" t="n">
        <f aca="false">COUNTIF($G$2:$G$66,G2)-1</f>
        <v>12</v>
      </c>
      <c r="M2" s="12" t="n">
        <f aca="false">COUNTIFS($G$2:$G$66,G2,$K$2:$K$66,K2)-1</f>
        <v>12</v>
      </c>
      <c r="N2" s="13" t="n">
        <f aca="false">IFERROR(M2/L2,"")</f>
        <v>1</v>
      </c>
    </row>
    <row r="3" customFormat="false" ht="15" hidden="false" customHeight="false" outlineLevel="0" collapsed="false">
      <c r="A3" s="3" t="s">
        <v>79</v>
      </c>
      <c r="B3" s="3" t="s">
        <v>80</v>
      </c>
      <c r="C3" s="3" t="s">
        <v>81</v>
      </c>
      <c r="D3" s="4" t="s">
        <v>20</v>
      </c>
      <c r="E3" s="11" t="s">
        <v>78</v>
      </c>
      <c r="F3" s="3" t="s">
        <v>72</v>
      </c>
      <c r="G3" s="3" t="s">
        <v>73</v>
      </c>
      <c r="H3" s="3" t="n">
        <v>1</v>
      </c>
      <c r="I3" s="3" t="s">
        <v>82</v>
      </c>
      <c r="J3" s="3" t="s">
        <v>340</v>
      </c>
      <c r="K3" s="3" t="s">
        <v>341</v>
      </c>
      <c r="L3" s="12" t="n">
        <f aca="false">COUNTIF($G$2:$G$66,G3)-1</f>
        <v>6</v>
      </c>
      <c r="M3" s="12" t="n">
        <f aca="false">COUNTIFS($G$2:$G$66,G3,$K$2:$K$66,K3)-1</f>
        <v>4</v>
      </c>
      <c r="N3" s="13" t="n">
        <f aca="false">IFERROR(M3/L3,"")</f>
        <v>0.666666666666667</v>
      </c>
    </row>
    <row r="4" customFormat="false" ht="15" hidden="false" customHeight="false" outlineLevel="0" collapsed="false">
      <c r="A4" s="3" t="s">
        <v>145</v>
      </c>
      <c r="B4" s="3" t="s">
        <v>146</v>
      </c>
      <c r="C4" s="3" t="s">
        <v>147</v>
      </c>
      <c r="D4" s="9" t="s">
        <v>110</v>
      </c>
      <c r="E4" s="11" t="s">
        <v>144</v>
      </c>
      <c r="F4" s="3" t="s">
        <v>105</v>
      </c>
      <c r="G4" s="3" t="s">
        <v>106</v>
      </c>
      <c r="H4" s="3" t="n">
        <v>1</v>
      </c>
      <c r="I4" s="3" t="s">
        <v>136</v>
      </c>
      <c r="J4" s="3" t="s">
        <v>325</v>
      </c>
      <c r="K4" s="3" t="s">
        <v>322</v>
      </c>
      <c r="L4" s="12" t="n">
        <f aca="false">COUNTIF($G$2:$G$66,G4)-1</f>
        <v>12</v>
      </c>
      <c r="M4" s="12" t="n">
        <f aca="false">COUNTIFS($G$2:$G$66,G4,$K$2:$K$66,K4)-1</f>
        <v>12</v>
      </c>
      <c r="N4" s="13" t="n">
        <f aca="false">IFERROR(M4/L4,"")</f>
        <v>1</v>
      </c>
    </row>
    <row r="5" customFormat="false" ht="15" hidden="false" customHeight="false" outlineLevel="0" collapsed="false">
      <c r="A5" s="3" t="s">
        <v>151</v>
      </c>
      <c r="B5" s="3" t="s">
        <v>152</v>
      </c>
      <c r="C5" s="3" t="s">
        <v>153</v>
      </c>
      <c r="D5" s="4" t="s">
        <v>20</v>
      </c>
      <c r="E5" s="11" t="s">
        <v>148</v>
      </c>
      <c r="F5" s="3" t="s">
        <v>149</v>
      </c>
      <c r="G5" s="3" t="s">
        <v>150</v>
      </c>
      <c r="H5" s="3" t="n">
        <v>1</v>
      </c>
      <c r="I5" s="3" t="s">
        <v>87</v>
      </c>
      <c r="J5" s="3" t="s">
        <v>342</v>
      </c>
      <c r="K5" s="3" t="s">
        <v>341</v>
      </c>
      <c r="L5" s="12" t="n">
        <f aca="false">COUNTIF($G$2:$G$66,G5)-1</f>
        <v>6</v>
      </c>
      <c r="M5" s="12" t="n">
        <f aca="false">COUNTIFS($G$2:$G$66,G5,$K$2:$K$66,K5)-1</f>
        <v>6</v>
      </c>
      <c r="N5" s="13" t="n">
        <f aca="false">IFERROR(M5/L5,"")</f>
        <v>1</v>
      </c>
    </row>
    <row r="6" customFormat="false" ht="15" hidden="false" customHeight="false" outlineLevel="0" collapsed="false">
      <c r="A6" s="3" t="s">
        <v>163</v>
      </c>
      <c r="B6" s="3" t="s">
        <v>161</v>
      </c>
      <c r="C6" s="3" t="s">
        <v>162</v>
      </c>
      <c r="D6" s="4" t="s">
        <v>20</v>
      </c>
      <c r="E6" s="11" t="s">
        <v>159</v>
      </c>
      <c r="F6" s="3" t="s">
        <v>149</v>
      </c>
      <c r="G6" s="3" t="s">
        <v>150</v>
      </c>
      <c r="H6" s="3" t="n">
        <v>1</v>
      </c>
      <c r="I6" s="3" t="s">
        <v>97</v>
      </c>
      <c r="J6" s="3" t="s">
        <v>346</v>
      </c>
      <c r="K6" s="3" t="s">
        <v>341</v>
      </c>
      <c r="L6" s="12" t="n">
        <f aca="false">COUNTIF($G$2:$G$66,G6)-1</f>
        <v>6</v>
      </c>
      <c r="M6" s="12" t="n">
        <f aca="false">COUNTIFS($G$2:$G$66,G6,$K$2:$K$66,K6)-1</f>
        <v>6</v>
      </c>
      <c r="N6" s="13" t="n">
        <f aca="false">IFERROR(M6/L6,"")</f>
        <v>1</v>
      </c>
    </row>
    <row r="7" customFormat="false" ht="15" hidden="false" customHeight="false" outlineLevel="0" collapsed="false">
      <c r="A7" s="3" t="s">
        <v>45</v>
      </c>
      <c r="B7" s="3" t="s">
        <v>46</v>
      </c>
      <c r="C7" s="3" t="s">
        <v>47</v>
      </c>
      <c r="D7" s="4" t="s">
        <v>20</v>
      </c>
      <c r="E7" s="11" t="s">
        <v>44</v>
      </c>
      <c r="F7" s="3" t="s">
        <v>15</v>
      </c>
      <c r="G7" s="3" t="s">
        <v>16</v>
      </c>
      <c r="H7" s="3" t="n">
        <v>1</v>
      </c>
      <c r="I7" s="3" t="s">
        <v>48</v>
      </c>
      <c r="J7" s="3" t="s">
        <v>336</v>
      </c>
      <c r="K7" s="3" t="s">
        <v>329</v>
      </c>
      <c r="L7" s="12" t="n">
        <f aca="false">COUNTIF($G$2:$G$66,G7)-1</f>
        <v>10</v>
      </c>
      <c r="M7" s="12" t="n">
        <f aca="false">COUNTIFS($G$2:$G$66,G7,$K$2:$K$66,K7)-1</f>
        <v>9</v>
      </c>
      <c r="N7" s="13" t="n">
        <f aca="false">IFERROR(M7/L7,"")</f>
        <v>0.9</v>
      </c>
    </row>
    <row r="8" customFormat="false" ht="15" hidden="false" customHeight="false" outlineLevel="0" collapsed="false">
      <c r="A8" s="3" t="s">
        <v>112</v>
      </c>
      <c r="B8" s="3" t="s">
        <v>108</v>
      </c>
      <c r="C8" s="3" t="s">
        <v>109</v>
      </c>
      <c r="D8" s="9" t="s">
        <v>110</v>
      </c>
      <c r="E8" s="11" t="s">
        <v>104</v>
      </c>
      <c r="F8" s="3" t="s">
        <v>105</v>
      </c>
      <c r="G8" s="3" t="s">
        <v>106</v>
      </c>
      <c r="H8" s="3" t="n">
        <v>1</v>
      </c>
      <c r="I8" s="3" t="s">
        <v>37</v>
      </c>
      <c r="J8" s="3" t="s">
        <v>324</v>
      </c>
      <c r="K8" s="3" t="s">
        <v>322</v>
      </c>
      <c r="L8" s="12" t="n">
        <f aca="false">COUNTIF($G$2:$G$66,G8)-1</f>
        <v>12</v>
      </c>
      <c r="M8" s="12" t="n">
        <f aca="false">COUNTIFS($G$2:$G$66,G8,$K$2:$K$66,K8)-1</f>
        <v>12</v>
      </c>
      <c r="N8" s="13" t="n">
        <f aca="false">IFERROR(M8/L8,"")</f>
        <v>1</v>
      </c>
    </row>
    <row r="9" customFormat="false" ht="15" hidden="false" customHeight="false" outlineLevel="0" collapsed="false">
      <c r="A9" s="3" t="s">
        <v>112</v>
      </c>
      <c r="B9" s="3" t="s">
        <v>108</v>
      </c>
      <c r="C9" s="3" t="s">
        <v>109</v>
      </c>
      <c r="D9" s="9" t="s">
        <v>110</v>
      </c>
      <c r="E9" s="11" t="s">
        <v>104</v>
      </c>
      <c r="F9" s="3" t="s">
        <v>105</v>
      </c>
      <c r="G9" s="3" t="s">
        <v>106</v>
      </c>
      <c r="H9" s="3" t="n">
        <v>1</v>
      </c>
      <c r="I9" s="3" t="s">
        <v>97</v>
      </c>
      <c r="J9" s="3" t="s">
        <v>324</v>
      </c>
      <c r="K9" s="3" t="s">
        <v>322</v>
      </c>
      <c r="L9" s="12" t="n">
        <f aca="false">COUNTIF($G$2:$G$66,G9)-1</f>
        <v>12</v>
      </c>
      <c r="M9" s="12" t="n">
        <f aca="false">COUNTIFS($G$2:$G$66,G9,$K$2:$K$66,K9)-1</f>
        <v>12</v>
      </c>
      <c r="N9" s="13" t="n">
        <f aca="false">IFERROR(M9/L9,"")</f>
        <v>1</v>
      </c>
    </row>
    <row r="10" customFormat="false" ht="15" hidden="false" customHeight="false" outlineLevel="0" collapsed="false">
      <c r="A10" s="3" t="s">
        <v>117</v>
      </c>
      <c r="B10" s="3" t="s">
        <v>118</v>
      </c>
      <c r="C10" s="3" t="s">
        <v>119</v>
      </c>
      <c r="D10" s="9" t="s">
        <v>110</v>
      </c>
      <c r="E10" s="11" t="s">
        <v>116</v>
      </c>
      <c r="F10" s="3" t="s">
        <v>105</v>
      </c>
      <c r="G10" s="3" t="s">
        <v>106</v>
      </c>
      <c r="H10" s="3" t="n">
        <v>1</v>
      </c>
      <c r="I10" s="3" t="s">
        <v>121</v>
      </c>
      <c r="J10" s="3" t="s">
        <v>327</v>
      </c>
      <c r="K10" s="3" t="s">
        <v>322</v>
      </c>
      <c r="L10" s="12" t="n">
        <f aca="false">COUNTIF($G$2:$G$66,G10)-1</f>
        <v>12</v>
      </c>
      <c r="M10" s="12" t="n">
        <f aca="false">COUNTIFS($G$2:$G$66,G10,$K$2:$K$66,K10)-1</f>
        <v>12</v>
      </c>
      <c r="N10" s="13" t="n">
        <f aca="false">IFERROR(M10/L10,"")</f>
        <v>1</v>
      </c>
    </row>
    <row r="11" customFormat="false" ht="15" hidden="false" customHeight="false" outlineLevel="0" collapsed="false">
      <c r="A11" s="3" t="s">
        <v>155</v>
      </c>
      <c r="B11" s="3" t="s">
        <v>156</v>
      </c>
      <c r="C11" s="3" t="s">
        <v>157</v>
      </c>
      <c r="D11" s="4" t="s">
        <v>20</v>
      </c>
      <c r="E11" s="11" t="s">
        <v>154</v>
      </c>
      <c r="F11" s="3" t="s">
        <v>149</v>
      </c>
      <c r="G11" s="3" t="s">
        <v>150</v>
      </c>
      <c r="H11" s="3" t="n">
        <v>1</v>
      </c>
      <c r="I11" s="3" t="s">
        <v>158</v>
      </c>
      <c r="J11" s="3" t="s">
        <v>347</v>
      </c>
      <c r="K11" s="3" t="s">
        <v>341</v>
      </c>
      <c r="L11" s="12" t="n">
        <f aca="false">COUNTIF($G$2:$G$66,G11)-1</f>
        <v>6</v>
      </c>
      <c r="M11" s="12" t="n">
        <f aca="false">COUNTIFS($G$2:$G$66,G11,$K$2:$K$66,K11)-1</f>
        <v>6</v>
      </c>
      <c r="N11" s="13" t="n">
        <f aca="false">IFERROR(M11/L11,"")</f>
        <v>1</v>
      </c>
    </row>
    <row r="12" customFormat="false" ht="15" hidden="false" customHeight="false" outlineLevel="0" collapsed="false">
      <c r="A12" s="3" t="s">
        <v>160</v>
      </c>
      <c r="B12" s="3" t="s">
        <v>161</v>
      </c>
      <c r="C12" s="3" t="s">
        <v>162</v>
      </c>
      <c r="D12" s="4" t="s">
        <v>20</v>
      </c>
      <c r="E12" s="11" t="s">
        <v>159</v>
      </c>
      <c r="F12" s="3" t="s">
        <v>149</v>
      </c>
      <c r="G12" s="3" t="s">
        <v>150</v>
      </c>
      <c r="H12" s="3" t="n">
        <v>1</v>
      </c>
      <c r="I12" s="3" t="s">
        <v>97</v>
      </c>
      <c r="J12" s="3" t="s">
        <v>346</v>
      </c>
      <c r="K12" s="3" t="s">
        <v>341</v>
      </c>
      <c r="L12" s="12" t="n">
        <f aca="false">COUNTIF($G$2:$G$66,G12)-1</f>
        <v>6</v>
      </c>
      <c r="M12" s="12" t="n">
        <f aca="false">COUNTIFS($G$2:$G$66,G12,$K$2:$K$66,K12)-1</f>
        <v>6</v>
      </c>
      <c r="N12" s="13" t="n">
        <f aca="false">IFERROR(M12/L12,"")</f>
        <v>1</v>
      </c>
    </row>
    <row r="13" customFormat="false" ht="15" hidden="false" customHeight="false" outlineLevel="0" collapsed="false">
      <c r="A13" s="3" t="s">
        <v>89</v>
      </c>
      <c r="B13" s="3" t="s">
        <v>90</v>
      </c>
      <c r="C13" s="3" t="s">
        <v>91</v>
      </c>
      <c r="D13" s="4" t="s">
        <v>20</v>
      </c>
      <c r="E13" s="11" t="s">
        <v>88</v>
      </c>
      <c r="F13" s="3" t="s">
        <v>72</v>
      </c>
      <c r="G13" s="3" t="s">
        <v>73</v>
      </c>
      <c r="H13" s="3" t="n">
        <v>1</v>
      </c>
      <c r="I13" s="3" t="s">
        <v>43</v>
      </c>
      <c r="J13" s="3" t="s">
        <v>343</v>
      </c>
      <c r="K13" s="3" t="s">
        <v>341</v>
      </c>
      <c r="L13" s="12" t="n">
        <f aca="false">COUNTIF($G$2:$G$66,G13)-1</f>
        <v>6</v>
      </c>
      <c r="M13" s="12" t="n">
        <f aca="false">COUNTIFS($G$2:$G$66,G13,$K$2:$K$66,K13)-1</f>
        <v>4</v>
      </c>
      <c r="N13" s="13" t="n">
        <f aca="false">IFERROR(M13/L13,"")</f>
        <v>0.666666666666667</v>
      </c>
    </row>
    <row r="14" customFormat="false" ht="15" hidden="false" customHeight="false" outlineLevel="0" collapsed="false">
      <c r="A14" s="3" t="s">
        <v>98</v>
      </c>
      <c r="B14" s="3" t="s">
        <v>94</v>
      </c>
      <c r="C14" s="3" t="s">
        <v>95</v>
      </c>
      <c r="D14" s="4" t="s">
        <v>20</v>
      </c>
      <c r="E14" s="11" t="s">
        <v>92</v>
      </c>
      <c r="F14" s="3" t="s">
        <v>72</v>
      </c>
      <c r="G14" s="3" t="s">
        <v>73</v>
      </c>
      <c r="H14" s="3" t="n">
        <v>1</v>
      </c>
      <c r="I14" s="3" t="s">
        <v>97</v>
      </c>
      <c r="J14" s="3" t="s">
        <v>344</v>
      </c>
      <c r="K14" s="3" t="s">
        <v>341</v>
      </c>
      <c r="L14" s="12" t="n">
        <f aca="false">COUNTIF($G$2:$G$66,G14)-1</f>
        <v>6</v>
      </c>
      <c r="M14" s="12" t="n">
        <f aca="false">COUNTIFS($G$2:$G$66,G14,$K$2:$K$66,K14)-1</f>
        <v>4</v>
      </c>
      <c r="N14" s="13" t="n">
        <f aca="false">IFERROR(M14/L14,"")</f>
        <v>0.666666666666667</v>
      </c>
    </row>
    <row r="15" customFormat="false" ht="15" hidden="false" customHeight="false" outlineLevel="0" collapsed="false">
      <c r="A15" s="3" t="s">
        <v>135</v>
      </c>
      <c r="B15" s="3" t="s">
        <v>125</v>
      </c>
      <c r="C15" s="3" t="s">
        <v>126</v>
      </c>
      <c r="D15" s="9" t="s">
        <v>110</v>
      </c>
      <c r="E15" s="11" t="s">
        <v>123</v>
      </c>
      <c r="F15" s="3" t="s">
        <v>105</v>
      </c>
      <c r="G15" s="3" t="s">
        <v>106</v>
      </c>
      <c r="H15" s="3" t="n">
        <v>1</v>
      </c>
      <c r="I15" s="3" t="s">
        <v>136</v>
      </c>
      <c r="J15" s="3" t="s">
        <v>326</v>
      </c>
      <c r="K15" s="3" t="s">
        <v>322</v>
      </c>
      <c r="L15" s="12" t="n">
        <f aca="false">COUNTIF($G$2:$G$66,G15)-1</f>
        <v>12</v>
      </c>
      <c r="M15" s="12" t="n">
        <f aca="false">COUNTIFS($G$2:$G$66,G15,$K$2:$K$66,K15)-1</f>
        <v>12</v>
      </c>
      <c r="N15" s="13" t="n">
        <f aca="false">IFERROR(M15/L15,"")</f>
        <v>1</v>
      </c>
    </row>
    <row r="16" customFormat="false" ht="15" hidden="false" customHeight="false" outlineLevel="0" collapsed="false">
      <c r="A16" s="3" t="s">
        <v>134</v>
      </c>
      <c r="B16" s="3" t="s">
        <v>125</v>
      </c>
      <c r="C16" s="3" t="s">
        <v>126</v>
      </c>
      <c r="D16" s="9" t="s">
        <v>110</v>
      </c>
      <c r="E16" s="11" t="s">
        <v>123</v>
      </c>
      <c r="F16" s="3" t="s">
        <v>105</v>
      </c>
      <c r="G16" s="3" t="s">
        <v>106</v>
      </c>
      <c r="H16" s="3" t="n">
        <v>1</v>
      </c>
      <c r="I16" s="3" t="s">
        <v>128</v>
      </c>
      <c r="J16" s="3" t="s">
        <v>326</v>
      </c>
      <c r="K16" s="3" t="s">
        <v>322</v>
      </c>
      <c r="L16" s="12" t="n">
        <f aca="false">COUNTIF($G$2:$G$66,G16)-1</f>
        <v>12</v>
      </c>
      <c r="M16" s="12" t="n">
        <f aca="false">COUNTIFS($G$2:$G$66,G16,$K$2:$K$66,K16)-1</f>
        <v>12</v>
      </c>
      <c r="N16" s="13" t="n">
        <f aca="false">IFERROR(M16/L16,"")</f>
        <v>1</v>
      </c>
    </row>
    <row r="17" customFormat="false" ht="15" hidden="false" customHeight="false" outlineLevel="0" collapsed="false">
      <c r="A17" s="3" t="s">
        <v>39</v>
      </c>
      <c r="B17" s="3" t="s">
        <v>40</v>
      </c>
      <c r="C17" s="3" t="s">
        <v>41</v>
      </c>
      <c r="D17" s="4" t="s">
        <v>20</v>
      </c>
      <c r="E17" s="11" t="s">
        <v>38</v>
      </c>
      <c r="F17" s="3" t="s">
        <v>15</v>
      </c>
      <c r="G17" s="3" t="s">
        <v>16</v>
      </c>
      <c r="H17" s="3" t="n">
        <v>1</v>
      </c>
      <c r="I17" s="3" t="s">
        <v>43</v>
      </c>
      <c r="J17" s="3" t="s">
        <v>331</v>
      </c>
      <c r="K17" s="3" t="s">
        <v>329</v>
      </c>
      <c r="L17" s="12" t="n">
        <f aca="false">COUNTIF($G$2:$G$66,G17)-1</f>
        <v>10</v>
      </c>
      <c r="M17" s="12" t="n">
        <f aca="false">COUNTIFS($G$2:$G$66,G17,$K$2:$K$66,K17)-1</f>
        <v>9</v>
      </c>
      <c r="N17" s="13" t="n">
        <f aca="false">IFERROR(M17/L17,"")</f>
        <v>0.9</v>
      </c>
    </row>
    <row r="18" customFormat="false" ht="15" hidden="false" customHeight="false" outlineLevel="0" collapsed="false">
      <c r="A18" s="3" t="s">
        <v>50</v>
      </c>
      <c r="B18" s="3" t="s">
        <v>51</v>
      </c>
      <c r="C18" s="3" t="s">
        <v>52</v>
      </c>
      <c r="D18" s="4" t="s">
        <v>20</v>
      </c>
      <c r="E18" s="11" t="s">
        <v>49</v>
      </c>
      <c r="F18" s="3" t="s">
        <v>15</v>
      </c>
      <c r="G18" s="3" t="s">
        <v>16</v>
      </c>
      <c r="H18" s="3" t="n">
        <v>1</v>
      </c>
      <c r="I18" s="3" t="s">
        <v>53</v>
      </c>
      <c r="J18" s="3" t="s">
        <v>335</v>
      </c>
      <c r="K18" s="3" t="s">
        <v>329</v>
      </c>
      <c r="L18" s="12" t="n">
        <f aca="false">COUNTIF($G$2:$G$66,G18)-1</f>
        <v>10</v>
      </c>
      <c r="M18" s="12" t="n">
        <f aca="false">COUNTIFS($G$2:$G$66,G18,$K$2:$K$66,K18)-1</f>
        <v>9</v>
      </c>
      <c r="N18" s="13" t="n">
        <f aca="false">IFERROR(M18/L18,"")</f>
        <v>0.9</v>
      </c>
    </row>
    <row r="19" customFormat="false" ht="15" hidden="false" customHeight="false" outlineLevel="0" collapsed="false">
      <c r="A19" s="3" t="s">
        <v>93</v>
      </c>
      <c r="B19" s="3" t="s">
        <v>94</v>
      </c>
      <c r="C19" s="3" t="s">
        <v>95</v>
      </c>
      <c r="D19" s="4" t="s">
        <v>20</v>
      </c>
      <c r="E19" s="11" t="s">
        <v>92</v>
      </c>
      <c r="F19" s="3" t="s">
        <v>72</v>
      </c>
      <c r="G19" s="3" t="s">
        <v>73</v>
      </c>
      <c r="H19" s="3" t="n">
        <v>1</v>
      </c>
      <c r="I19" s="3" t="s">
        <v>97</v>
      </c>
      <c r="J19" s="3" t="s">
        <v>344</v>
      </c>
      <c r="K19" s="3" t="s">
        <v>341</v>
      </c>
      <c r="L19" s="12" t="n">
        <f aca="false">COUNTIF($G$2:$G$66,G19)-1</f>
        <v>6</v>
      </c>
      <c r="M19" s="12" t="n">
        <f aca="false">COUNTIFS($G$2:$G$66,G19,$K$2:$K$66,K19)-1</f>
        <v>4</v>
      </c>
      <c r="N19" s="13" t="n">
        <f aca="false">IFERROR(M19/L19,"")</f>
        <v>0.666666666666667</v>
      </c>
    </row>
    <row r="20" customFormat="false" ht="15" hidden="false" customHeight="false" outlineLevel="0" collapsed="false">
      <c r="A20" s="3" t="s">
        <v>275</v>
      </c>
      <c r="B20" s="3" t="s">
        <v>276</v>
      </c>
      <c r="C20" s="3" t="s">
        <v>277</v>
      </c>
      <c r="D20" s="7" t="s">
        <v>66</v>
      </c>
      <c r="E20" s="11" t="s">
        <v>272</v>
      </c>
      <c r="F20" s="3" t="s">
        <v>273</v>
      </c>
      <c r="G20" s="3" t="s">
        <v>274</v>
      </c>
      <c r="H20" s="3" t="n">
        <v>1</v>
      </c>
      <c r="I20" s="3" t="s">
        <v>278</v>
      </c>
      <c r="J20" s="3" t="s">
        <v>363</v>
      </c>
      <c r="K20" s="3" t="s">
        <v>361</v>
      </c>
      <c r="L20" s="12" t="n">
        <f aca="false">COUNTIF($G$2:$G$66,G20)-1</f>
        <v>8</v>
      </c>
      <c r="M20" s="12" t="n">
        <f aca="false">COUNTIFS($G$2:$G$66,G20,$K$2:$K$66,K20)-1</f>
        <v>4</v>
      </c>
      <c r="N20" s="13" t="n">
        <f aca="false">IFERROR(M20/L20,"")</f>
        <v>0.5</v>
      </c>
    </row>
    <row r="21" customFormat="false" ht="15" hidden="false" customHeight="false" outlineLevel="0" collapsed="false">
      <c r="A21" s="3" t="s">
        <v>143</v>
      </c>
      <c r="B21" s="3" t="s">
        <v>139</v>
      </c>
      <c r="C21" s="3" t="s">
        <v>140</v>
      </c>
      <c r="D21" s="9" t="s">
        <v>110</v>
      </c>
      <c r="E21" s="11" t="s">
        <v>137</v>
      </c>
      <c r="F21" s="3" t="s">
        <v>105</v>
      </c>
      <c r="G21" s="3" t="s">
        <v>106</v>
      </c>
      <c r="H21" s="3" t="n">
        <v>1</v>
      </c>
      <c r="I21" s="3" t="s">
        <v>142</v>
      </c>
      <c r="J21" s="3" t="s">
        <v>321</v>
      </c>
      <c r="K21" s="3" t="s">
        <v>322</v>
      </c>
      <c r="L21" s="12" t="n">
        <f aca="false">COUNTIF($G$2:$G$66,G21)-1</f>
        <v>12</v>
      </c>
      <c r="M21" s="12" t="n">
        <f aca="false">COUNTIFS($G$2:$G$66,G21,$K$2:$K$66,K21)-1</f>
        <v>12</v>
      </c>
      <c r="N21" s="13" t="n">
        <f aca="false">IFERROR(M21/L21,"")</f>
        <v>1</v>
      </c>
    </row>
    <row r="22" customFormat="false" ht="15" hidden="false" customHeight="false" outlineLevel="0" collapsed="false">
      <c r="A22" s="3" t="s">
        <v>170</v>
      </c>
      <c r="B22" s="3" t="s">
        <v>171</v>
      </c>
      <c r="C22" s="3" t="s">
        <v>172</v>
      </c>
      <c r="D22" s="4" t="s">
        <v>20</v>
      </c>
      <c r="E22" s="11" t="s">
        <v>169</v>
      </c>
      <c r="F22" s="3" t="s">
        <v>149</v>
      </c>
      <c r="G22" s="3" t="s">
        <v>150</v>
      </c>
      <c r="H22" s="3" t="n">
        <v>1</v>
      </c>
      <c r="I22" s="3" t="s">
        <v>173</v>
      </c>
      <c r="J22" s="3" t="s">
        <v>349</v>
      </c>
      <c r="K22" s="3" t="s">
        <v>341</v>
      </c>
      <c r="L22" s="12" t="n">
        <f aca="false">COUNTIF($G$2:$G$66,G22)-1</f>
        <v>6</v>
      </c>
      <c r="M22" s="12" t="n">
        <f aca="false">COUNTIFS($G$2:$G$66,G22,$K$2:$K$66,K22)-1</f>
        <v>6</v>
      </c>
      <c r="N22" s="13" t="n">
        <f aca="false">IFERROR(M22/L22,"")</f>
        <v>1</v>
      </c>
    </row>
    <row r="23" customFormat="false" ht="15" hidden="false" customHeight="false" outlineLevel="0" collapsed="false">
      <c r="A23" s="3" t="s">
        <v>174</v>
      </c>
      <c r="B23" s="3" t="s">
        <v>130</v>
      </c>
      <c r="C23" s="3" t="s">
        <v>131</v>
      </c>
      <c r="D23" s="4" t="s">
        <v>20</v>
      </c>
      <c r="E23" s="11" t="s">
        <v>169</v>
      </c>
      <c r="F23" s="3" t="s">
        <v>149</v>
      </c>
      <c r="G23" s="3" t="s">
        <v>150</v>
      </c>
      <c r="H23" s="3" t="n">
        <v>1</v>
      </c>
      <c r="I23" s="3" t="s">
        <v>173</v>
      </c>
      <c r="J23" s="3" t="s">
        <v>349</v>
      </c>
      <c r="K23" s="3" t="s">
        <v>341</v>
      </c>
      <c r="L23" s="12" t="n">
        <f aca="false">COUNTIF($G$2:$G$66,G23)-1</f>
        <v>6</v>
      </c>
      <c r="M23" s="12" t="n">
        <f aca="false">COUNTIFS($G$2:$G$66,G23,$K$2:$K$66,K23)-1</f>
        <v>6</v>
      </c>
      <c r="N23" s="13" t="n">
        <f aca="false">IFERROR(M23/L23,"")</f>
        <v>1</v>
      </c>
    </row>
    <row r="24" customFormat="false" ht="15" hidden="false" customHeight="false" outlineLevel="0" collapsed="false">
      <c r="A24" s="3" t="s">
        <v>113</v>
      </c>
      <c r="B24" s="3" t="s">
        <v>108</v>
      </c>
      <c r="C24" s="3" t="s">
        <v>109</v>
      </c>
      <c r="D24" s="9" t="s">
        <v>110</v>
      </c>
      <c r="E24" s="11" t="s">
        <v>104</v>
      </c>
      <c r="F24" s="3" t="s">
        <v>105</v>
      </c>
      <c r="G24" s="3" t="s">
        <v>106</v>
      </c>
      <c r="H24" s="3" t="n">
        <v>1</v>
      </c>
      <c r="I24" s="3" t="s">
        <v>97</v>
      </c>
      <c r="J24" s="3" t="s">
        <v>324</v>
      </c>
      <c r="K24" s="3" t="s">
        <v>322</v>
      </c>
      <c r="L24" s="12" t="n">
        <f aca="false">COUNTIF($G$2:$G$66,G24)-1</f>
        <v>12</v>
      </c>
      <c r="M24" s="12" t="n">
        <f aca="false">COUNTIFS($G$2:$G$66,G24,$K$2:$K$66,K24)-1</f>
        <v>12</v>
      </c>
      <c r="N24" s="13" t="n">
        <f aca="false">IFERROR(M24/L24,"")</f>
        <v>1</v>
      </c>
    </row>
    <row r="25" customFormat="false" ht="15" hidden="false" customHeight="false" outlineLevel="0" collapsed="false">
      <c r="A25" s="3" t="s">
        <v>29</v>
      </c>
      <c r="B25" s="3" t="s">
        <v>30</v>
      </c>
      <c r="C25" s="3" t="s">
        <v>31</v>
      </c>
      <c r="D25" s="4" t="s">
        <v>20</v>
      </c>
      <c r="E25" s="11" t="s">
        <v>28</v>
      </c>
      <c r="F25" s="3" t="s">
        <v>15</v>
      </c>
      <c r="G25" s="3" t="s">
        <v>16</v>
      </c>
      <c r="H25" s="3" t="n">
        <v>1</v>
      </c>
      <c r="I25" s="3" t="s">
        <v>32</v>
      </c>
      <c r="J25" s="3" t="s">
        <v>333</v>
      </c>
      <c r="K25" s="3" t="s">
        <v>329</v>
      </c>
      <c r="L25" s="12" t="n">
        <f aca="false">COUNTIF($G$2:$G$66,G25)-1</f>
        <v>10</v>
      </c>
      <c r="M25" s="12" t="n">
        <f aca="false">COUNTIFS($G$2:$G$66,G25,$K$2:$K$66,K25)-1</f>
        <v>9</v>
      </c>
      <c r="N25" s="13" t="n">
        <f aca="false">IFERROR(M25/L25,"")</f>
        <v>0.9</v>
      </c>
    </row>
    <row r="26" customFormat="false" ht="15" hidden="false" customHeight="false" outlineLevel="0" collapsed="false">
      <c r="A26" s="3" t="s">
        <v>29</v>
      </c>
      <c r="B26" s="3" t="s">
        <v>30</v>
      </c>
      <c r="C26" s="3" t="s">
        <v>31</v>
      </c>
      <c r="D26" s="4" t="s">
        <v>20</v>
      </c>
      <c r="E26" s="11" t="s">
        <v>69</v>
      </c>
      <c r="F26" s="3" t="s">
        <v>60</v>
      </c>
      <c r="G26" s="3" t="s">
        <v>16</v>
      </c>
      <c r="H26" s="3" t="n">
        <v>2</v>
      </c>
      <c r="I26" s="3" t="s">
        <v>70</v>
      </c>
      <c r="J26" s="3" t="s">
        <v>333</v>
      </c>
      <c r="K26" s="3" t="s">
        <v>329</v>
      </c>
      <c r="L26" s="12" t="n">
        <f aca="false">COUNTIF($G$2:$G$66,G26)-1</f>
        <v>10</v>
      </c>
      <c r="M26" s="12" t="n">
        <f aca="false">COUNTIFS($G$2:$G$66,G26,$K$2:$K$66,K26)-1</f>
        <v>9</v>
      </c>
      <c r="N26" s="13" t="n">
        <f aca="false">IFERROR(M26/L26,"")</f>
        <v>0.9</v>
      </c>
    </row>
    <row r="27" customFormat="false" ht="15" hidden="false" customHeight="false" outlineLevel="0" collapsed="false">
      <c r="A27" s="3" t="s">
        <v>34</v>
      </c>
      <c r="B27" s="3" t="s">
        <v>35</v>
      </c>
      <c r="C27" s="3" t="s">
        <v>36</v>
      </c>
      <c r="D27" s="4" t="s">
        <v>20</v>
      </c>
      <c r="E27" s="11" t="s">
        <v>33</v>
      </c>
      <c r="F27" s="3" t="s">
        <v>15</v>
      </c>
      <c r="G27" s="3" t="s">
        <v>16</v>
      </c>
      <c r="H27" s="3" t="n">
        <v>1</v>
      </c>
      <c r="I27" s="3" t="s">
        <v>37</v>
      </c>
      <c r="J27" s="3" t="s">
        <v>337</v>
      </c>
      <c r="K27" s="3" t="s">
        <v>329</v>
      </c>
      <c r="L27" s="12" t="n">
        <f aca="false">COUNTIF($G$2:$G$66,G27)-1</f>
        <v>10</v>
      </c>
      <c r="M27" s="12" t="n">
        <f aca="false">COUNTIFS($G$2:$G$66,G27,$K$2:$K$66,K27)-1</f>
        <v>9</v>
      </c>
      <c r="N27" s="13" t="n">
        <f aca="false">IFERROR(M27/L27,"")</f>
        <v>0.9</v>
      </c>
    </row>
    <row r="28" customFormat="false" ht="15" hidden="false" customHeight="false" outlineLevel="0" collapsed="false">
      <c r="A28" s="3" t="s">
        <v>63</v>
      </c>
      <c r="B28" s="3" t="s">
        <v>64</v>
      </c>
      <c r="C28" s="3" t="s">
        <v>65</v>
      </c>
      <c r="D28" s="7" t="s">
        <v>66</v>
      </c>
      <c r="E28" s="11" t="s">
        <v>62</v>
      </c>
      <c r="F28" s="3" t="s">
        <v>60</v>
      </c>
      <c r="G28" s="3" t="s">
        <v>16</v>
      </c>
      <c r="H28" s="3" t="n">
        <v>2</v>
      </c>
      <c r="I28" s="3" t="s">
        <v>68</v>
      </c>
      <c r="J28" s="3" t="s">
        <v>375</v>
      </c>
      <c r="K28" s="3" t="s">
        <v>370</v>
      </c>
      <c r="L28" s="12" t="n">
        <f aca="false">COUNTIF($G$2:$G$66,G28)-1</f>
        <v>10</v>
      </c>
      <c r="M28" s="12" t="n">
        <f aca="false">COUNTIFS($G$2:$G$66,G28,$K$2:$K$66,K28)-1</f>
        <v>0</v>
      </c>
      <c r="N28" s="13" t="n">
        <f aca="false">IFERROR(M28/L28,"")</f>
        <v>0</v>
      </c>
    </row>
    <row r="29" customFormat="false" ht="15" hidden="false" customHeight="false" outlineLevel="0" collapsed="false">
      <c r="A29" s="3" t="s">
        <v>17</v>
      </c>
      <c r="B29" s="3" t="s">
        <v>18</v>
      </c>
      <c r="C29" s="3" t="s">
        <v>19</v>
      </c>
      <c r="D29" s="4" t="s">
        <v>20</v>
      </c>
      <c r="E29" s="11" t="s">
        <v>14</v>
      </c>
      <c r="F29" s="3" t="s">
        <v>15</v>
      </c>
      <c r="G29" s="3" t="s">
        <v>16</v>
      </c>
      <c r="H29" s="3" t="n">
        <v>1</v>
      </c>
      <c r="I29" s="3" t="s">
        <v>22</v>
      </c>
      <c r="J29" s="3" t="s">
        <v>328</v>
      </c>
      <c r="K29" s="3" t="s">
        <v>329</v>
      </c>
      <c r="L29" s="12" t="n">
        <f aca="false">COUNTIF($G$2:$G$66,G29)-1</f>
        <v>10</v>
      </c>
      <c r="M29" s="12" t="n">
        <f aca="false">COUNTIFS($G$2:$G$66,G29,$K$2:$K$66,K29)-1</f>
        <v>9</v>
      </c>
      <c r="N29" s="13" t="n">
        <f aca="false">IFERROR(M29/L29,"")</f>
        <v>0.9</v>
      </c>
    </row>
    <row r="30" customFormat="false" ht="15" hidden="false" customHeight="false" outlineLevel="0" collapsed="false">
      <c r="A30" s="3" t="s">
        <v>114</v>
      </c>
      <c r="B30" s="3" t="s">
        <v>108</v>
      </c>
      <c r="C30" s="3" t="s">
        <v>109</v>
      </c>
      <c r="D30" s="9" t="s">
        <v>110</v>
      </c>
      <c r="E30" s="11" t="s">
        <v>104</v>
      </c>
      <c r="F30" s="3" t="s">
        <v>105</v>
      </c>
      <c r="G30" s="3" t="s">
        <v>106</v>
      </c>
      <c r="H30" s="3" t="n">
        <v>1</v>
      </c>
      <c r="I30" s="3" t="s">
        <v>115</v>
      </c>
      <c r="J30" s="3" t="s">
        <v>324</v>
      </c>
      <c r="K30" s="3" t="s">
        <v>322</v>
      </c>
      <c r="L30" s="12" t="n">
        <f aca="false">COUNTIF($G$2:$G$66,G30)-1</f>
        <v>12</v>
      </c>
      <c r="M30" s="12" t="n">
        <f aca="false">COUNTIFS($G$2:$G$66,G30,$K$2:$K$66,K30)-1</f>
        <v>12</v>
      </c>
      <c r="N30" s="13" t="n">
        <f aca="false">IFERROR(M30/L30,"")</f>
        <v>1</v>
      </c>
    </row>
    <row r="31" customFormat="false" ht="15" hidden="false" customHeight="false" outlineLevel="0" collapsed="false">
      <c r="A31" s="3" t="s">
        <v>107</v>
      </c>
      <c r="B31" s="3" t="s">
        <v>108</v>
      </c>
      <c r="C31" s="3" t="s">
        <v>109</v>
      </c>
      <c r="D31" s="9" t="s">
        <v>110</v>
      </c>
      <c r="E31" s="11" t="s">
        <v>104</v>
      </c>
      <c r="F31" s="3" t="s">
        <v>105</v>
      </c>
      <c r="G31" s="3" t="s">
        <v>106</v>
      </c>
      <c r="H31" s="3" t="n">
        <v>1</v>
      </c>
      <c r="I31" s="3" t="s">
        <v>37</v>
      </c>
      <c r="J31" s="3" t="s">
        <v>324</v>
      </c>
      <c r="K31" s="3" t="s">
        <v>322</v>
      </c>
      <c r="L31" s="12" t="n">
        <f aca="false">COUNTIF($G$2:$G$66,G31)-1</f>
        <v>12</v>
      </c>
      <c r="M31" s="12" t="n">
        <f aca="false">COUNTIFS($G$2:$G$66,G31,$K$2:$K$66,K31)-1</f>
        <v>12</v>
      </c>
      <c r="N31" s="13" t="n">
        <f aca="false">IFERROR(M31/L31,"")</f>
        <v>1</v>
      </c>
    </row>
    <row r="32" customFormat="false" ht="15" hidden="false" customHeight="false" outlineLevel="0" collapsed="false">
      <c r="A32" s="3" t="s">
        <v>129</v>
      </c>
      <c r="B32" s="3" t="s">
        <v>130</v>
      </c>
      <c r="C32" s="3" t="s">
        <v>131</v>
      </c>
      <c r="D32" s="9" t="s">
        <v>110</v>
      </c>
      <c r="E32" s="11" t="s">
        <v>123</v>
      </c>
      <c r="F32" s="3" t="s">
        <v>105</v>
      </c>
      <c r="G32" s="3" t="s">
        <v>106</v>
      </c>
      <c r="H32" s="3" t="n">
        <v>1</v>
      </c>
      <c r="I32" s="3" t="s">
        <v>128</v>
      </c>
      <c r="J32" s="3" t="s">
        <v>326</v>
      </c>
      <c r="K32" s="3" t="s">
        <v>322</v>
      </c>
      <c r="L32" s="12" t="n">
        <f aca="false">COUNTIF($G$2:$G$66,G32)-1</f>
        <v>12</v>
      </c>
      <c r="M32" s="12" t="n">
        <f aca="false">COUNTIFS($G$2:$G$66,G32,$K$2:$K$66,K32)-1</f>
        <v>12</v>
      </c>
      <c r="N32" s="13" t="n">
        <f aca="false">IFERROR(M32/L32,"")</f>
        <v>1</v>
      </c>
    </row>
    <row r="33" customFormat="false" ht="15" hidden="false" customHeight="false" outlineLevel="0" collapsed="false">
      <c r="A33" s="3" t="s">
        <v>234</v>
      </c>
      <c r="B33" s="3" t="s">
        <v>235</v>
      </c>
      <c r="C33" s="3" t="s">
        <v>236</v>
      </c>
      <c r="D33" s="7" t="s">
        <v>66</v>
      </c>
      <c r="E33" s="11" t="s">
        <v>231</v>
      </c>
      <c r="F33" s="3" t="s">
        <v>232</v>
      </c>
      <c r="G33" s="3" t="s">
        <v>233</v>
      </c>
      <c r="H33" s="3" t="n">
        <v>1</v>
      </c>
      <c r="I33" s="3" t="s">
        <v>238</v>
      </c>
      <c r="J33" s="3" t="s">
        <v>377</v>
      </c>
      <c r="K33" s="3" t="s">
        <v>370</v>
      </c>
      <c r="L33" s="12" t="n">
        <f aca="false">COUNTIF($G$2:$G$66,G33)-1</f>
        <v>6</v>
      </c>
      <c r="M33" s="12" t="n">
        <f aca="false">COUNTIFS($G$2:$G$66,G33,$K$2:$K$66,K33)-1</f>
        <v>3</v>
      </c>
      <c r="N33" s="13" t="n">
        <f aca="false">IFERROR(M33/L33,"")</f>
        <v>0.5</v>
      </c>
    </row>
    <row r="34" customFormat="false" ht="15" hidden="false" customHeight="false" outlineLevel="0" collapsed="false">
      <c r="A34" s="3" t="s">
        <v>84</v>
      </c>
      <c r="B34" s="3" t="s">
        <v>85</v>
      </c>
      <c r="C34" s="3" t="s">
        <v>86</v>
      </c>
      <c r="D34" s="4" t="s">
        <v>20</v>
      </c>
      <c r="E34" s="11" t="s">
        <v>83</v>
      </c>
      <c r="F34" s="3" t="s">
        <v>72</v>
      </c>
      <c r="G34" s="3" t="s">
        <v>73</v>
      </c>
      <c r="H34" s="3" t="n">
        <v>1</v>
      </c>
      <c r="I34" s="3" t="s">
        <v>87</v>
      </c>
      <c r="J34" s="3" t="s">
        <v>339</v>
      </c>
      <c r="K34" s="3" t="s">
        <v>329</v>
      </c>
      <c r="L34" s="12" t="n">
        <f aca="false">COUNTIF($G$2:$G$66,G34)-1</f>
        <v>6</v>
      </c>
      <c r="M34" s="12" t="n">
        <f aca="false">COUNTIFS($G$2:$G$66,G34,$K$2:$K$66,K34)-1</f>
        <v>1</v>
      </c>
      <c r="N34" s="13" t="n">
        <f aca="false">IFERROR(M34/L34,"")</f>
        <v>0.166666666666667</v>
      </c>
    </row>
    <row r="35" customFormat="false" ht="15" hidden="false" customHeight="false" outlineLevel="0" collapsed="false">
      <c r="A35" s="3" t="s">
        <v>100</v>
      </c>
      <c r="B35" s="3" t="s">
        <v>101</v>
      </c>
      <c r="C35" s="3" t="s">
        <v>102</v>
      </c>
      <c r="D35" s="4" t="s">
        <v>20</v>
      </c>
      <c r="E35" s="11" t="s">
        <v>99</v>
      </c>
      <c r="F35" s="3" t="s">
        <v>72</v>
      </c>
      <c r="G35" s="3" t="s">
        <v>73</v>
      </c>
      <c r="H35" s="3" t="n">
        <v>1</v>
      </c>
      <c r="I35" s="3" t="s">
        <v>103</v>
      </c>
      <c r="J35" s="3" t="s">
        <v>345</v>
      </c>
      <c r="K35" s="3" t="s">
        <v>341</v>
      </c>
      <c r="L35" s="12" t="n">
        <f aca="false">COUNTIF($G$2:$G$66,G35)-1</f>
        <v>6</v>
      </c>
      <c r="M35" s="12" t="n">
        <f aca="false">COUNTIFS($G$2:$G$66,G35,$K$2:$K$66,K35)-1</f>
        <v>4</v>
      </c>
      <c r="N35" s="13" t="n">
        <f aca="false">IFERROR(M35/L35,"")</f>
        <v>0.666666666666667</v>
      </c>
    </row>
    <row r="36" customFormat="false" ht="15" hidden="false" customHeight="false" outlineLevel="0" collapsed="false">
      <c r="A36" s="3" t="s">
        <v>316</v>
      </c>
      <c r="B36" s="3" t="s">
        <v>317</v>
      </c>
      <c r="C36" s="3" t="s">
        <v>318</v>
      </c>
      <c r="D36" s="7" t="s">
        <v>66</v>
      </c>
      <c r="E36" s="11" t="s">
        <v>315</v>
      </c>
      <c r="F36" s="3" t="s">
        <v>310</v>
      </c>
      <c r="G36" s="3" t="s">
        <v>274</v>
      </c>
      <c r="H36" s="3" t="n">
        <v>3</v>
      </c>
      <c r="I36" s="3" t="s">
        <v>136</v>
      </c>
      <c r="J36" s="3" t="s">
        <v>378</v>
      </c>
      <c r="K36" s="3" t="s">
        <v>379</v>
      </c>
      <c r="L36" s="12" t="n">
        <f aca="false">COUNTIF($G$2:$G$66,G36)-1</f>
        <v>8</v>
      </c>
      <c r="M36" s="12" t="n">
        <f aca="false">COUNTIFS($G$2:$G$66,G36,$K$2:$K$66,K36)-1</f>
        <v>1</v>
      </c>
      <c r="N36" s="13" t="n">
        <f aca="false">IFERROR(M36/L36,"")</f>
        <v>0.125</v>
      </c>
    </row>
    <row r="37" customFormat="false" ht="15" hidden="false" customHeight="false" outlineLevel="0" collapsed="false">
      <c r="A37" s="3" t="s">
        <v>280</v>
      </c>
      <c r="B37" s="3" t="s">
        <v>281</v>
      </c>
      <c r="C37" s="3" t="s">
        <v>282</v>
      </c>
      <c r="D37" s="7" t="s">
        <v>66</v>
      </c>
      <c r="E37" s="11" t="s">
        <v>279</v>
      </c>
      <c r="F37" s="3" t="s">
        <v>273</v>
      </c>
      <c r="G37" s="3" t="s">
        <v>274</v>
      </c>
      <c r="H37" s="3" t="n">
        <v>1</v>
      </c>
      <c r="I37" s="3" t="s">
        <v>22</v>
      </c>
      <c r="J37" s="3" t="s">
        <v>365</v>
      </c>
      <c r="K37" s="3" t="s">
        <v>361</v>
      </c>
      <c r="L37" s="12" t="n">
        <f aca="false">COUNTIF($G$2:$G$66,G37)-1</f>
        <v>8</v>
      </c>
      <c r="M37" s="12" t="n">
        <f aca="false">COUNTIFS($G$2:$G$66,G37,$K$2:$K$66,K37)-1</f>
        <v>4</v>
      </c>
      <c r="N37" s="13" t="n">
        <f aca="false">IFERROR(M37/L37,"")</f>
        <v>0.5</v>
      </c>
    </row>
    <row r="38" customFormat="false" ht="15" hidden="false" customHeight="false" outlineLevel="0" collapsed="false">
      <c r="A38" s="3" t="s">
        <v>284</v>
      </c>
      <c r="B38" s="3" t="s">
        <v>285</v>
      </c>
      <c r="C38" s="3" t="s">
        <v>286</v>
      </c>
      <c r="D38" s="7" t="s">
        <v>66</v>
      </c>
      <c r="E38" s="11" t="s">
        <v>283</v>
      </c>
      <c r="F38" s="3" t="s">
        <v>273</v>
      </c>
      <c r="G38" s="3" t="s">
        <v>274</v>
      </c>
      <c r="H38" s="3" t="n">
        <v>1</v>
      </c>
      <c r="I38" s="3" t="s">
        <v>287</v>
      </c>
      <c r="J38" s="3" t="s">
        <v>360</v>
      </c>
      <c r="K38" s="3" t="s">
        <v>361</v>
      </c>
      <c r="L38" s="12" t="n">
        <f aca="false">COUNTIF($G$2:$G$66,G38)-1</f>
        <v>8</v>
      </c>
      <c r="M38" s="12" t="n">
        <f aca="false">COUNTIFS($G$2:$G$66,G38,$K$2:$K$66,K38)-1</f>
        <v>4</v>
      </c>
      <c r="N38" s="13" t="n">
        <f aca="false">IFERROR(M38/L38,"")</f>
        <v>0.5</v>
      </c>
    </row>
    <row r="39" customFormat="false" ht="15" hidden="false" customHeight="false" outlineLevel="0" collapsed="false">
      <c r="A39" s="3" t="s">
        <v>196</v>
      </c>
      <c r="B39" s="3" t="s">
        <v>197</v>
      </c>
      <c r="C39" s="3" t="s">
        <v>198</v>
      </c>
      <c r="D39" s="7" t="s">
        <v>66</v>
      </c>
      <c r="E39" s="11" t="s">
        <v>195</v>
      </c>
      <c r="F39" s="3" t="s">
        <v>177</v>
      </c>
      <c r="G39" s="3" t="s">
        <v>178</v>
      </c>
      <c r="H39" s="3" t="n">
        <v>1</v>
      </c>
      <c r="I39" s="3" t="s">
        <v>199</v>
      </c>
      <c r="J39" s="3" t="s">
        <v>353</v>
      </c>
      <c r="K39" s="3" t="s">
        <v>351</v>
      </c>
      <c r="L39" s="12" t="n">
        <f aca="false">COUNTIF($G$2:$G$66,G39)-1</f>
        <v>10</v>
      </c>
      <c r="M39" s="12" t="n">
        <f aca="false">COUNTIFS($G$2:$G$66,G39,$K$2:$K$66,K39)-1</f>
        <v>7</v>
      </c>
      <c r="N39" s="13" t="n">
        <f aca="false">IFERROR(M39/L39,"")</f>
        <v>0.7</v>
      </c>
    </row>
    <row r="40" customFormat="false" ht="15" hidden="false" customHeight="false" outlineLevel="0" collapsed="false">
      <c r="A40" s="3" t="s">
        <v>211</v>
      </c>
      <c r="B40" s="3" t="s">
        <v>212</v>
      </c>
      <c r="C40" s="3" t="s">
        <v>213</v>
      </c>
      <c r="D40" s="7" t="s">
        <v>66</v>
      </c>
      <c r="E40" s="11" t="s">
        <v>210</v>
      </c>
      <c r="F40" s="3" t="s">
        <v>177</v>
      </c>
      <c r="G40" s="3" t="s">
        <v>178</v>
      </c>
      <c r="H40" s="3" t="n">
        <v>1</v>
      </c>
      <c r="I40" s="3" t="s">
        <v>214</v>
      </c>
      <c r="J40" s="3" t="s">
        <v>381</v>
      </c>
      <c r="K40" s="3" t="s">
        <v>379</v>
      </c>
      <c r="L40" s="12" t="n">
        <f aca="false">COUNTIF($G$2:$G$66,G40)-1</f>
        <v>10</v>
      </c>
      <c r="M40" s="12" t="n">
        <f aca="false">COUNTIFS($G$2:$G$66,G40,$K$2:$K$66,K40)-1</f>
        <v>0</v>
      </c>
      <c r="N40" s="13" t="n">
        <f aca="false">IFERROR(M40/L40,"")</f>
        <v>0</v>
      </c>
    </row>
    <row r="41" customFormat="false" ht="15" hidden="false" customHeight="false" outlineLevel="0" collapsed="false">
      <c r="A41" s="3" t="s">
        <v>242</v>
      </c>
      <c r="B41" s="3" t="s">
        <v>243</v>
      </c>
      <c r="C41" s="3" t="s">
        <v>244</v>
      </c>
      <c r="D41" s="7" t="s">
        <v>66</v>
      </c>
      <c r="E41" s="11" t="s">
        <v>240</v>
      </c>
      <c r="F41" s="3" t="s">
        <v>241</v>
      </c>
      <c r="G41" s="3" t="s">
        <v>233</v>
      </c>
      <c r="H41" s="3" t="n">
        <v>2</v>
      </c>
      <c r="I41" s="3" t="s">
        <v>204</v>
      </c>
      <c r="J41" s="3" t="s">
        <v>367</v>
      </c>
      <c r="K41" s="3" t="s">
        <v>361</v>
      </c>
      <c r="L41" s="12" t="n">
        <f aca="false">COUNTIF($G$2:$G$66,G41)-1</f>
        <v>6</v>
      </c>
      <c r="M41" s="12" t="n">
        <f aca="false">COUNTIFS($G$2:$G$66,G41,$K$2:$K$66,K41)-1</f>
        <v>1</v>
      </c>
      <c r="N41" s="13" t="n">
        <f aca="false">IFERROR(M41/L41,"")</f>
        <v>0.166666666666667</v>
      </c>
    </row>
    <row r="42" customFormat="false" ht="15" hidden="false" customHeight="false" outlineLevel="0" collapsed="false">
      <c r="A42" s="3" t="s">
        <v>74</v>
      </c>
      <c r="B42" s="3" t="s">
        <v>75</v>
      </c>
      <c r="C42" s="3" t="s">
        <v>76</v>
      </c>
      <c r="D42" s="4" t="s">
        <v>20</v>
      </c>
      <c r="E42" s="11" t="s">
        <v>71</v>
      </c>
      <c r="F42" s="3" t="s">
        <v>72</v>
      </c>
      <c r="G42" s="3" t="s">
        <v>73</v>
      </c>
      <c r="H42" s="3" t="n">
        <v>1</v>
      </c>
      <c r="I42" s="3" t="s">
        <v>77</v>
      </c>
      <c r="J42" s="3" t="s">
        <v>332</v>
      </c>
      <c r="K42" s="3" t="s">
        <v>329</v>
      </c>
      <c r="L42" s="12" t="n">
        <f aca="false">COUNTIF($G$2:$G$66,G42)-1</f>
        <v>6</v>
      </c>
      <c r="M42" s="12" t="n">
        <f aca="false">COUNTIFS($G$2:$G$66,G42,$K$2:$K$66,K42)-1</f>
        <v>1</v>
      </c>
      <c r="N42" s="13" t="n">
        <f aca="false">IFERROR(M42/L42,"")</f>
        <v>0.166666666666667</v>
      </c>
    </row>
    <row r="43" customFormat="false" ht="15" hidden="false" customHeight="false" outlineLevel="0" collapsed="false">
      <c r="A43" s="3" t="s">
        <v>289</v>
      </c>
      <c r="B43" s="3" t="s">
        <v>290</v>
      </c>
      <c r="C43" s="3" t="s">
        <v>291</v>
      </c>
      <c r="D43" s="7" t="s">
        <v>66</v>
      </c>
      <c r="E43" s="11" t="s">
        <v>288</v>
      </c>
      <c r="F43" s="3" t="s">
        <v>273</v>
      </c>
      <c r="G43" s="3" t="s">
        <v>274</v>
      </c>
      <c r="H43" s="3" t="n">
        <v>1</v>
      </c>
      <c r="I43" s="3" t="s">
        <v>292</v>
      </c>
      <c r="J43" s="3" t="s">
        <v>366</v>
      </c>
      <c r="K43" s="3" t="s">
        <v>361</v>
      </c>
      <c r="L43" s="12" t="n">
        <f aca="false">COUNTIF($G$2:$G$66,G43)-1</f>
        <v>8</v>
      </c>
      <c r="M43" s="12" t="n">
        <f aca="false">COUNTIFS($G$2:$G$66,G43,$K$2:$K$66,K43)-1</f>
        <v>4</v>
      </c>
      <c r="N43" s="13" t="n">
        <f aca="false">IFERROR(M43/L43,"")</f>
        <v>0.5</v>
      </c>
    </row>
    <row r="44" customFormat="false" ht="15" hidden="false" customHeight="false" outlineLevel="0" collapsed="false">
      <c r="A44" s="3" t="s">
        <v>257</v>
      </c>
      <c r="B44" s="3" t="s">
        <v>258</v>
      </c>
      <c r="C44" s="3" t="s">
        <v>259</v>
      </c>
      <c r="D44" s="7" t="s">
        <v>66</v>
      </c>
      <c r="E44" s="11" t="s">
        <v>255</v>
      </c>
      <c r="F44" s="3" t="s">
        <v>256</v>
      </c>
      <c r="G44" s="3" t="s">
        <v>233</v>
      </c>
      <c r="H44" s="3" t="n">
        <v>4</v>
      </c>
      <c r="I44" s="3" t="s">
        <v>260</v>
      </c>
      <c r="J44" s="3" t="s">
        <v>358</v>
      </c>
      <c r="K44" s="3" t="s">
        <v>351</v>
      </c>
      <c r="L44" s="12" t="n">
        <f aca="false">COUNTIF($G$2:$G$66,G44)-1</f>
        <v>6</v>
      </c>
      <c r="M44" s="12" t="n">
        <f aca="false">COUNTIFS($G$2:$G$66,G44,$K$2:$K$66,K44)-1</f>
        <v>0</v>
      </c>
      <c r="N44" s="13" t="n">
        <f aca="false">IFERROR(M44/L44,"")</f>
        <v>0</v>
      </c>
    </row>
    <row r="45" customFormat="false" ht="15" hidden="false" customHeight="false" outlineLevel="0" collapsed="false">
      <c r="A45" s="3" t="s">
        <v>185</v>
      </c>
      <c r="B45" s="3" t="s">
        <v>186</v>
      </c>
      <c r="C45" s="3" t="s">
        <v>187</v>
      </c>
      <c r="D45" s="7" t="s">
        <v>66</v>
      </c>
      <c r="E45" s="11" t="s">
        <v>184</v>
      </c>
      <c r="F45" s="3" t="s">
        <v>177</v>
      </c>
      <c r="G45" s="3" t="s">
        <v>178</v>
      </c>
      <c r="H45" s="3" t="n">
        <v>1</v>
      </c>
      <c r="I45" s="3" t="s">
        <v>188</v>
      </c>
      <c r="J45" s="3" t="s">
        <v>355</v>
      </c>
      <c r="K45" s="3" t="s">
        <v>351</v>
      </c>
      <c r="L45" s="12" t="n">
        <f aca="false">COUNTIF($G$2:$G$66,G45)-1</f>
        <v>10</v>
      </c>
      <c r="M45" s="12" t="n">
        <f aca="false">COUNTIFS($G$2:$G$66,G45,$K$2:$K$66,K45)-1</f>
        <v>7</v>
      </c>
      <c r="N45" s="13" t="n">
        <f aca="false">IFERROR(M45/L45,"")</f>
        <v>0.7</v>
      </c>
    </row>
    <row r="46" customFormat="false" ht="15" hidden="false" customHeight="false" outlineLevel="0" collapsed="false">
      <c r="A46" s="3" t="s">
        <v>183</v>
      </c>
      <c r="B46" s="3" t="s">
        <v>180</v>
      </c>
      <c r="C46" s="3" t="s">
        <v>181</v>
      </c>
      <c r="D46" s="7" t="s">
        <v>66</v>
      </c>
      <c r="E46" s="11" t="s">
        <v>176</v>
      </c>
      <c r="F46" s="3" t="s">
        <v>177</v>
      </c>
      <c r="G46" s="3" t="s">
        <v>178</v>
      </c>
      <c r="H46" s="3" t="n">
        <v>1</v>
      </c>
      <c r="I46" s="3" t="s">
        <v>182</v>
      </c>
      <c r="J46" s="3" t="s">
        <v>354</v>
      </c>
      <c r="K46" s="3" t="s">
        <v>351</v>
      </c>
      <c r="L46" s="12" t="n">
        <f aca="false">COUNTIF($G$2:$G$66,G46)-1</f>
        <v>10</v>
      </c>
      <c r="M46" s="12" t="n">
        <f aca="false">COUNTIFS($G$2:$G$66,G46,$K$2:$K$66,K46)-1</f>
        <v>7</v>
      </c>
      <c r="N46" s="13" t="n">
        <f aca="false">IFERROR(M46/L46,"")</f>
        <v>0.7</v>
      </c>
    </row>
    <row r="47" customFormat="false" ht="15" hidden="false" customHeight="false" outlineLevel="0" collapsed="false">
      <c r="A47" s="3" t="s">
        <v>165</v>
      </c>
      <c r="B47" s="3" t="s">
        <v>166</v>
      </c>
      <c r="C47" s="3" t="s">
        <v>167</v>
      </c>
      <c r="D47" s="4" t="s">
        <v>20</v>
      </c>
      <c r="E47" s="11" t="s">
        <v>164</v>
      </c>
      <c r="F47" s="3" t="s">
        <v>149</v>
      </c>
      <c r="G47" s="3" t="s">
        <v>150</v>
      </c>
      <c r="H47" s="3" t="n">
        <v>1</v>
      </c>
      <c r="I47" s="3" t="s">
        <v>168</v>
      </c>
      <c r="J47" s="3" t="s">
        <v>348</v>
      </c>
      <c r="K47" s="3" t="s">
        <v>341</v>
      </c>
      <c r="L47" s="12" t="n">
        <f aca="false">COUNTIF($G$2:$G$66,G47)-1</f>
        <v>6</v>
      </c>
      <c r="M47" s="12" t="n">
        <f aca="false">COUNTIFS($G$2:$G$66,G47,$K$2:$K$66,K47)-1</f>
        <v>6</v>
      </c>
      <c r="N47" s="13" t="n">
        <f aca="false">IFERROR(M47/L47,"")</f>
        <v>1</v>
      </c>
    </row>
    <row r="48" customFormat="false" ht="15" hidden="false" customHeight="false" outlineLevel="0" collapsed="false">
      <c r="A48" s="3" t="s">
        <v>24</v>
      </c>
      <c r="B48" s="3" t="s">
        <v>25</v>
      </c>
      <c r="C48" s="3" t="s">
        <v>26</v>
      </c>
      <c r="D48" s="4" t="s">
        <v>20</v>
      </c>
      <c r="E48" s="11" t="s">
        <v>23</v>
      </c>
      <c r="F48" s="3" t="s">
        <v>15</v>
      </c>
      <c r="G48" s="3" t="s">
        <v>16</v>
      </c>
      <c r="H48" s="3" t="n">
        <v>1</v>
      </c>
      <c r="I48" s="3" t="s">
        <v>27</v>
      </c>
      <c r="J48" s="3" t="s">
        <v>334</v>
      </c>
      <c r="K48" s="3" t="s">
        <v>329</v>
      </c>
      <c r="L48" s="12" t="n">
        <f aca="false">COUNTIF($G$2:$G$66,G48)-1</f>
        <v>10</v>
      </c>
      <c r="M48" s="12" t="n">
        <f aca="false">COUNTIFS($G$2:$G$66,G48,$K$2:$K$66,K48)-1</f>
        <v>9</v>
      </c>
      <c r="N48" s="13" t="n">
        <f aca="false">IFERROR(M48/L48,"")</f>
        <v>0.9</v>
      </c>
    </row>
    <row r="49" customFormat="false" ht="15" hidden="false" customHeight="false" outlineLevel="0" collapsed="false">
      <c r="A49" s="3" t="s">
        <v>217</v>
      </c>
      <c r="B49" s="3" t="s">
        <v>218</v>
      </c>
      <c r="C49" s="3" t="s">
        <v>219</v>
      </c>
      <c r="D49" s="7" t="s">
        <v>66</v>
      </c>
      <c r="E49" s="11" t="s">
        <v>215</v>
      </c>
      <c r="F49" s="3" t="s">
        <v>216</v>
      </c>
      <c r="G49" s="3" t="s">
        <v>178</v>
      </c>
      <c r="H49" s="3" t="n">
        <v>2</v>
      </c>
      <c r="I49" s="3" t="s">
        <v>53</v>
      </c>
      <c r="J49" s="3" t="s">
        <v>373</v>
      </c>
      <c r="K49" s="3" t="s">
        <v>370</v>
      </c>
      <c r="L49" s="12" t="n">
        <f aca="false">COUNTIF($G$2:$G$66,G49)-1</f>
        <v>10</v>
      </c>
      <c r="M49" s="12" t="n">
        <f aca="false">COUNTIFS($G$2:$G$66,G49,$K$2:$K$66,K49)-1</f>
        <v>0</v>
      </c>
      <c r="N49" s="13" t="n">
        <f aca="false">IFERROR(M49/L49,"")</f>
        <v>0</v>
      </c>
    </row>
    <row r="50" customFormat="false" ht="15" hidden="false" customHeight="false" outlineLevel="0" collapsed="false">
      <c r="A50" s="3" t="s">
        <v>55</v>
      </c>
      <c r="B50" s="3" t="s">
        <v>56</v>
      </c>
      <c r="C50" s="3" t="s">
        <v>57</v>
      </c>
      <c r="D50" s="4" t="s">
        <v>20</v>
      </c>
      <c r="E50" s="11" t="s">
        <v>54</v>
      </c>
      <c r="F50" s="3" t="s">
        <v>15</v>
      </c>
      <c r="G50" s="3" t="s">
        <v>16</v>
      </c>
      <c r="H50" s="3" t="n">
        <v>1</v>
      </c>
      <c r="I50" s="3" t="s">
        <v>58</v>
      </c>
      <c r="J50" s="3" t="s">
        <v>338</v>
      </c>
      <c r="K50" s="3" t="s">
        <v>329</v>
      </c>
      <c r="L50" s="12" t="n">
        <f aca="false">COUNTIF($G$2:$G$66,G50)-1</f>
        <v>10</v>
      </c>
      <c r="M50" s="12" t="n">
        <f aca="false">COUNTIFS($G$2:$G$66,G50,$K$2:$K$66,K50)-1</f>
        <v>9</v>
      </c>
      <c r="N50" s="13" t="n">
        <f aca="false">IFERROR(M50/L50,"")</f>
        <v>0.9</v>
      </c>
    </row>
    <row r="51" customFormat="false" ht="15" hidden="false" customHeight="false" outlineLevel="0" collapsed="false">
      <c r="A51" s="3" t="s">
        <v>55</v>
      </c>
      <c r="B51" s="3" t="s">
        <v>56</v>
      </c>
      <c r="C51" s="3" t="s">
        <v>57</v>
      </c>
      <c r="D51" s="4" t="s">
        <v>20</v>
      </c>
      <c r="E51" s="11" t="s">
        <v>59</v>
      </c>
      <c r="F51" s="3" t="s">
        <v>60</v>
      </c>
      <c r="G51" s="3" t="s">
        <v>16</v>
      </c>
      <c r="H51" s="3" t="n">
        <v>2</v>
      </c>
      <c r="I51" s="3" t="s">
        <v>61</v>
      </c>
      <c r="J51" s="3" t="s">
        <v>338</v>
      </c>
      <c r="K51" s="3" t="s">
        <v>329</v>
      </c>
      <c r="L51" s="12" t="n">
        <f aca="false">COUNTIF($G$2:$G$66,G51)-1</f>
        <v>10</v>
      </c>
      <c r="M51" s="12" t="n">
        <f aca="false">COUNTIFS($G$2:$G$66,G51,$K$2:$K$66,K51)-1</f>
        <v>9</v>
      </c>
      <c r="N51" s="13" t="n">
        <f aca="false">IFERROR(M51/L51,"")</f>
        <v>0.9</v>
      </c>
    </row>
    <row r="52" customFormat="false" ht="15" hidden="false" customHeight="false" outlineLevel="0" collapsed="false">
      <c r="A52" s="3" t="s">
        <v>251</v>
      </c>
      <c r="B52" s="3" t="s">
        <v>252</v>
      </c>
      <c r="C52" s="3" t="s">
        <v>253</v>
      </c>
      <c r="D52" s="7" t="s">
        <v>66</v>
      </c>
      <c r="E52" s="11" t="s">
        <v>249</v>
      </c>
      <c r="F52" s="3" t="s">
        <v>250</v>
      </c>
      <c r="G52" s="3" t="s">
        <v>233</v>
      </c>
      <c r="H52" s="3" t="n">
        <v>3</v>
      </c>
      <c r="I52" s="3" t="s">
        <v>254</v>
      </c>
      <c r="J52" s="3" t="s">
        <v>369</v>
      </c>
      <c r="K52" s="3" t="s">
        <v>370</v>
      </c>
      <c r="L52" s="12" t="n">
        <f aca="false">COUNTIF($G$2:$G$66,G52)-1</f>
        <v>6</v>
      </c>
      <c r="M52" s="12" t="n">
        <f aca="false">COUNTIFS($G$2:$G$66,G52,$K$2:$K$66,K52)-1</f>
        <v>3</v>
      </c>
      <c r="N52" s="13" t="n">
        <f aca="false">IFERROR(M52/L52,"")</f>
        <v>0.5</v>
      </c>
    </row>
    <row r="53" customFormat="false" ht="15" hidden="false" customHeight="false" outlineLevel="0" collapsed="false">
      <c r="A53" s="3" t="s">
        <v>262</v>
      </c>
      <c r="B53" s="3" t="s">
        <v>263</v>
      </c>
      <c r="C53" s="3" t="s">
        <v>264</v>
      </c>
      <c r="D53" s="7" t="s">
        <v>66</v>
      </c>
      <c r="E53" s="11" t="s">
        <v>261</v>
      </c>
      <c r="F53" s="3" t="s">
        <v>256</v>
      </c>
      <c r="G53" s="3" t="s">
        <v>233</v>
      </c>
      <c r="H53" s="3" t="n">
        <v>4</v>
      </c>
      <c r="I53" s="3" t="s">
        <v>265</v>
      </c>
      <c r="J53" s="3" t="s">
        <v>371</v>
      </c>
      <c r="K53" s="3" t="s">
        <v>370</v>
      </c>
      <c r="L53" s="12" t="n">
        <f aca="false">COUNTIF($G$2:$G$66,G53)-1</f>
        <v>6</v>
      </c>
      <c r="M53" s="12" t="n">
        <f aca="false">COUNTIFS($G$2:$G$66,G53,$K$2:$K$66,K53)-1</f>
        <v>3</v>
      </c>
      <c r="N53" s="13" t="n">
        <f aca="false">IFERROR(M53/L53,"")</f>
        <v>0.5</v>
      </c>
    </row>
    <row r="54" customFormat="false" ht="15" hidden="false" customHeight="false" outlineLevel="0" collapsed="false">
      <c r="A54" s="3" t="s">
        <v>179</v>
      </c>
      <c r="B54" s="3" t="s">
        <v>180</v>
      </c>
      <c r="C54" s="3" t="s">
        <v>181</v>
      </c>
      <c r="D54" s="7" t="s">
        <v>66</v>
      </c>
      <c r="E54" s="11" t="s">
        <v>176</v>
      </c>
      <c r="F54" s="3" t="s">
        <v>177</v>
      </c>
      <c r="G54" s="3" t="s">
        <v>178</v>
      </c>
      <c r="H54" s="3" t="n">
        <v>1</v>
      </c>
      <c r="I54" s="3" t="s">
        <v>182</v>
      </c>
      <c r="J54" s="3" t="s">
        <v>354</v>
      </c>
      <c r="K54" s="3" t="s">
        <v>351</v>
      </c>
      <c r="L54" s="12" t="n">
        <f aca="false">COUNTIF($G$2:$G$66,G54)-1</f>
        <v>10</v>
      </c>
      <c r="M54" s="12" t="n">
        <f aca="false">COUNTIFS($G$2:$G$66,G54,$K$2:$K$66,K54)-1</f>
        <v>7</v>
      </c>
      <c r="N54" s="13" t="n">
        <f aca="false">IFERROR(M54/L54,"")</f>
        <v>0.7</v>
      </c>
    </row>
    <row r="55" customFormat="false" ht="15" hidden="false" customHeight="false" outlineLevel="0" collapsed="false">
      <c r="A55" s="3" t="s">
        <v>206</v>
      </c>
      <c r="B55" s="3" t="s">
        <v>207</v>
      </c>
      <c r="C55" s="3" t="s">
        <v>208</v>
      </c>
      <c r="D55" s="7" t="s">
        <v>66</v>
      </c>
      <c r="E55" s="11" t="s">
        <v>205</v>
      </c>
      <c r="F55" s="3" t="s">
        <v>177</v>
      </c>
      <c r="G55" s="3" t="s">
        <v>178</v>
      </c>
      <c r="H55" s="3" t="n">
        <v>1</v>
      </c>
      <c r="I55" s="3" t="s">
        <v>209</v>
      </c>
      <c r="J55" s="3" t="s">
        <v>350</v>
      </c>
      <c r="K55" s="3" t="s">
        <v>351</v>
      </c>
      <c r="L55" s="12" t="n">
        <f aca="false">COUNTIF($G$2:$G$66,G55)-1</f>
        <v>10</v>
      </c>
      <c r="M55" s="12" t="n">
        <f aca="false">COUNTIFS($G$2:$G$66,G55,$K$2:$K$66,K55)-1</f>
        <v>7</v>
      </c>
      <c r="N55" s="13" t="n">
        <f aca="false">IFERROR(M55/L55,"")</f>
        <v>0.7</v>
      </c>
    </row>
    <row r="56" customFormat="false" ht="15" hidden="false" customHeight="false" outlineLevel="0" collapsed="false">
      <c r="A56" s="3" t="s">
        <v>299</v>
      </c>
      <c r="B56" s="3" t="s">
        <v>300</v>
      </c>
      <c r="C56" s="3" t="s">
        <v>301</v>
      </c>
      <c r="D56" s="7" t="s">
        <v>66</v>
      </c>
      <c r="E56" s="11" t="s">
        <v>298</v>
      </c>
      <c r="F56" s="3" t="s">
        <v>273</v>
      </c>
      <c r="G56" s="3" t="s">
        <v>274</v>
      </c>
      <c r="H56" s="3" t="n">
        <v>1</v>
      </c>
      <c r="I56" s="3" t="s">
        <v>302</v>
      </c>
      <c r="J56" s="3" t="s">
        <v>374</v>
      </c>
      <c r="K56" s="3" t="s">
        <v>370</v>
      </c>
      <c r="L56" s="12" t="n">
        <f aca="false">COUNTIF($G$2:$G$66,G56)-1</f>
        <v>8</v>
      </c>
      <c r="M56" s="12" t="n">
        <f aca="false">COUNTIFS($G$2:$G$66,G56,$K$2:$K$66,K56)-1</f>
        <v>1</v>
      </c>
      <c r="N56" s="13" t="n">
        <f aca="false">IFERROR(M56/L56,"")</f>
        <v>0.125</v>
      </c>
    </row>
    <row r="57" customFormat="false" ht="15" hidden="false" customHeight="false" outlineLevel="0" collapsed="false">
      <c r="A57" s="3" t="s">
        <v>201</v>
      </c>
      <c r="B57" s="3" t="s">
        <v>202</v>
      </c>
      <c r="C57" s="3" t="s">
        <v>203</v>
      </c>
      <c r="D57" s="7" t="s">
        <v>66</v>
      </c>
      <c r="E57" s="11" t="s">
        <v>200</v>
      </c>
      <c r="F57" s="3" t="s">
        <v>177</v>
      </c>
      <c r="G57" s="3" t="s">
        <v>178</v>
      </c>
      <c r="H57" s="3" t="n">
        <v>1</v>
      </c>
      <c r="I57" s="3" t="s">
        <v>204</v>
      </c>
      <c r="J57" s="3" t="s">
        <v>357</v>
      </c>
      <c r="K57" s="3" t="s">
        <v>351</v>
      </c>
      <c r="L57" s="12" t="n">
        <f aca="false">COUNTIF($G$2:$G$66,G57)-1</f>
        <v>10</v>
      </c>
      <c r="M57" s="12" t="n">
        <f aca="false">COUNTIFS($G$2:$G$66,G57,$K$2:$K$66,K57)-1</f>
        <v>7</v>
      </c>
      <c r="N57" s="13" t="n">
        <f aca="false">IFERROR(M57/L57,"")</f>
        <v>0.7</v>
      </c>
    </row>
    <row r="58" customFormat="false" ht="15" hidden="false" customHeight="false" outlineLevel="0" collapsed="false">
      <c r="A58" s="3" t="s">
        <v>227</v>
      </c>
      <c r="B58" s="3" t="s">
        <v>228</v>
      </c>
      <c r="C58" s="3" t="s">
        <v>229</v>
      </c>
      <c r="D58" s="7" t="s">
        <v>66</v>
      </c>
      <c r="E58" s="11" t="s">
        <v>226</v>
      </c>
      <c r="F58" s="3" t="s">
        <v>221</v>
      </c>
      <c r="G58" s="3" t="s">
        <v>178</v>
      </c>
      <c r="H58" s="3" t="n">
        <v>3</v>
      </c>
      <c r="I58" s="3" t="s">
        <v>230</v>
      </c>
      <c r="J58" s="3" t="s">
        <v>362</v>
      </c>
      <c r="K58" s="3" t="s">
        <v>361</v>
      </c>
      <c r="L58" s="12" t="n">
        <f aca="false">COUNTIF($G$2:$G$66,G58)-1</f>
        <v>10</v>
      </c>
      <c r="M58" s="12" t="n">
        <f aca="false">COUNTIFS($G$2:$G$66,G58,$K$2:$K$66,K58)-1</f>
        <v>0</v>
      </c>
      <c r="N58" s="13" t="n">
        <f aca="false">IFERROR(M58/L58,"")</f>
        <v>0</v>
      </c>
    </row>
    <row r="59" customFormat="false" ht="15" hidden="false" customHeight="false" outlineLevel="0" collapsed="false">
      <c r="A59" s="3" t="s">
        <v>294</v>
      </c>
      <c r="B59" s="3" t="s">
        <v>295</v>
      </c>
      <c r="C59" s="3" t="s">
        <v>296</v>
      </c>
      <c r="D59" s="7" t="s">
        <v>66</v>
      </c>
      <c r="E59" s="11" t="s">
        <v>293</v>
      </c>
      <c r="F59" s="3" t="s">
        <v>273</v>
      </c>
      <c r="G59" s="3" t="s">
        <v>274</v>
      </c>
      <c r="H59" s="3" t="n">
        <v>1</v>
      </c>
      <c r="I59" s="3" t="s">
        <v>297</v>
      </c>
      <c r="J59" s="3" t="s">
        <v>380</v>
      </c>
      <c r="K59" s="3" t="s">
        <v>379</v>
      </c>
      <c r="L59" s="12" t="n">
        <f aca="false">COUNTIF($G$2:$G$66,G59)-1</f>
        <v>8</v>
      </c>
      <c r="M59" s="12" t="n">
        <f aca="false">COUNTIFS($G$2:$G$66,G59,$K$2:$K$66,K59)-1</f>
        <v>1</v>
      </c>
      <c r="N59" s="13" t="n">
        <f aca="false">IFERROR(M59/L59,"")</f>
        <v>0.125</v>
      </c>
    </row>
    <row r="60" customFormat="false" ht="15" hidden="false" customHeight="false" outlineLevel="0" collapsed="false">
      <c r="A60" s="3" t="s">
        <v>268</v>
      </c>
      <c r="B60" s="3" t="s">
        <v>269</v>
      </c>
      <c r="C60" s="3" t="s">
        <v>270</v>
      </c>
      <c r="D60" s="7" t="s">
        <v>66</v>
      </c>
      <c r="E60" s="11" t="s">
        <v>267</v>
      </c>
      <c r="F60" s="3" t="s">
        <v>256</v>
      </c>
      <c r="G60" s="3" t="s">
        <v>233</v>
      </c>
      <c r="H60" s="3" t="n">
        <v>4</v>
      </c>
      <c r="I60" s="3" t="s">
        <v>271</v>
      </c>
      <c r="J60" s="3" t="s">
        <v>372</v>
      </c>
      <c r="K60" s="3" t="s">
        <v>370</v>
      </c>
      <c r="L60" s="12" t="n">
        <f aca="false">COUNTIF($G$2:$G$66,G60)-1</f>
        <v>6</v>
      </c>
      <c r="M60" s="12" t="n">
        <f aca="false">COUNTIFS($G$2:$G$66,G60,$K$2:$K$66,K60)-1</f>
        <v>3</v>
      </c>
      <c r="N60" s="13" t="n">
        <f aca="false">IFERROR(M60/L60,"")</f>
        <v>0.5</v>
      </c>
    </row>
    <row r="61" customFormat="false" ht="15" hidden="false" customHeight="false" outlineLevel="0" collapsed="false">
      <c r="A61" s="3" t="s">
        <v>190</v>
      </c>
      <c r="B61" s="3" t="s">
        <v>191</v>
      </c>
      <c r="C61" s="3" t="s">
        <v>192</v>
      </c>
      <c r="D61" s="7" t="s">
        <v>66</v>
      </c>
      <c r="E61" s="11" t="s">
        <v>189</v>
      </c>
      <c r="F61" s="3" t="s">
        <v>177</v>
      </c>
      <c r="G61" s="3" t="s">
        <v>178</v>
      </c>
      <c r="H61" s="3" t="n">
        <v>1</v>
      </c>
      <c r="I61" s="3" t="s">
        <v>194</v>
      </c>
      <c r="J61" s="3" t="s">
        <v>359</v>
      </c>
      <c r="K61" s="3" t="s">
        <v>351</v>
      </c>
      <c r="L61" s="12" t="n">
        <f aca="false">COUNTIF($G$2:$G$66,G61)-1</f>
        <v>10</v>
      </c>
      <c r="M61" s="12" t="n">
        <f aca="false">COUNTIFS($G$2:$G$66,G61,$K$2:$K$66,K61)-1</f>
        <v>7</v>
      </c>
      <c r="N61" s="13" t="n">
        <f aca="false">IFERROR(M61/L61,"")</f>
        <v>0.7</v>
      </c>
    </row>
    <row r="62" customFormat="false" ht="15" hidden="false" customHeight="false" outlineLevel="0" collapsed="false">
      <c r="A62" s="3" t="s">
        <v>246</v>
      </c>
      <c r="B62" s="3" t="s">
        <v>247</v>
      </c>
      <c r="C62" s="3" t="s">
        <v>248</v>
      </c>
      <c r="D62" s="7" t="s">
        <v>66</v>
      </c>
      <c r="E62" s="11" t="s">
        <v>245</v>
      </c>
      <c r="F62" s="3" t="s">
        <v>241</v>
      </c>
      <c r="G62" s="3" t="s">
        <v>233</v>
      </c>
      <c r="H62" s="3" t="n">
        <v>2</v>
      </c>
      <c r="I62" s="3" t="s">
        <v>32</v>
      </c>
      <c r="J62" s="3" t="s">
        <v>368</v>
      </c>
      <c r="K62" s="3" t="s">
        <v>361</v>
      </c>
      <c r="L62" s="12" t="n">
        <f aca="false">COUNTIF($G$2:$G$66,G62)-1</f>
        <v>6</v>
      </c>
      <c r="M62" s="12" t="n">
        <f aca="false">COUNTIFS($G$2:$G$66,G62,$K$2:$K$66,K62)-1</f>
        <v>1</v>
      </c>
      <c r="N62" s="13" t="n">
        <f aca="false">IFERROR(M62/L62,"")</f>
        <v>0.166666666666667</v>
      </c>
    </row>
    <row r="63" customFormat="false" ht="15" hidden="false" customHeight="false" outlineLevel="0" collapsed="false">
      <c r="A63" s="3" t="s">
        <v>305</v>
      </c>
      <c r="B63" s="3" t="s">
        <v>306</v>
      </c>
      <c r="C63" s="3" t="s">
        <v>307</v>
      </c>
      <c r="D63" s="7" t="s">
        <v>66</v>
      </c>
      <c r="E63" s="11" t="s">
        <v>303</v>
      </c>
      <c r="F63" s="3" t="s">
        <v>304</v>
      </c>
      <c r="G63" s="3" t="s">
        <v>274</v>
      </c>
      <c r="H63" s="3" t="n">
        <v>2</v>
      </c>
      <c r="I63" s="3" t="s">
        <v>308</v>
      </c>
      <c r="J63" s="3" t="s">
        <v>376</v>
      </c>
      <c r="K63" s="3" t="s">
        <v>370</v>
      </c>
      <c r="L63" s="12" t="n">
        <f aca="false">COUNTIF($G$2:$G$66,G63)-1</f>
        <v>8</v>
      </c>
      <c r="M63" s="12" t="n">
        <f aca="false">COUNTIFS($G$2:$G$66,G63,$K$2:$K$66,K63)-1</f>
        <v>1</v>
      </c>
      <c r="N63" s="13" t="n">
        <f aca="false">IFERROR(M63/L63,"")</f>
        <v>0.125</v>
      </c>
    </row>
    <row r="64" customFormat="false" ht="15" hidden="false" customHeight="false" outlineLevel="0" collapsed="false">
      <c r="A64" s="3" t="s">
        <v>311</v>
      </c>
      <c r="B64" s="3" t="s">
        <v>312</v>
      </c>
      <c r="C64" s="3" t="s">
        <v>313</v>
      </c>
      <c r="D64" s="7" t="s">
        <v>66</v>
      </c>
      <c r="E64" s="11" t="s">
        <v>309</v>
      </c>
      <c r="F64" s="3" t="s">
        <v>310</v>
      </c>
      <c r="G64" s="3" t="s">
        <v>274</v>
      </c>
      <c r="H64" s="3" t="n">
        <v>3</v>
      </c>
      <c r="I64" s="3" t="s">
        <v>314</v>
      </c>
      <c r="J64" s="3" t="s">
        <v>364</v>
      </c>
      <c r="K64" s="3" t="s">
        <v>361</v>
      </c>
      <c r="L64" s="12" t="n">
        <f aca="false">COUNTIF($G$2:$G$66,G64)-1</f>
        <v>8</v>
      </c>
      <c r="M64" s="12" t="n">
        <f aca="false">COUNTIFS($G$2:$G$66,G64,$K$2:$K$66,K64)-1</f>
        <v>4</v>
      </c>
      <c r="N64" s="13" t="n">
        <f aca="false">IFERROR(M64/L64,"")</f>
        <v>0.5</v>
      </c>
    </row>
    <row r="65" customFormat="false" ht="15" hidden="false" customHeight="false" outlineLevel="0" collapsed="false">
      <c r="A65" s="3" t="s">
        <v>138</v>
      </c>
      <c r="B65" s="3" t="s">
        <v>139</v>
      </c>
      <c r="C65" s="3" t="s">
        <v>140</v>
      </c>
      <c r="D65" s="9" t="s">
        <v>110</v>
      </c>
      <c r="E65" s="11" t="s">
        <v>137</v>
      </c>
      <c r="F65" s="3" t="s">
        <v>105</v>
      </c>
      <c r="G65" s="3" t="s">
        <v>106</v>
      </c>
      <c r="H65" s="3" t="n">
        <v>1</v>
      </c>
      <c r="I65" s="3" t="s">
        <v>142</v>
      </c>
      <c r="J65" s="3" t="s">
        <v>321</v>
      </c>
      <c r="K65" s="3" t="s">
        <v>322</v>
      </c>
      <c r="L65" s="12" t="n">
        <f aca="false">COUNTIF($G$2:$G$66,G65)-1</f>
        <v>12</v>
      </c>
      <c r="M65" s="12" t="n">
        <f aca="false">COUNTIFS($G$2:$G$66,G65,$K$2:$K$66,K65)-1</f>
        <v>12</v>
      </c>
      <c r="N65" s="13" t="n">
        <f aca="false">IFERROR(M65/L65,"")</f>
        <v>1</v>
      </c>
    </row>
    <row r="66" customFormat="false" ht="15" hidden="false" customHeight="false" outlineLevel="0" collapsed="false">
      <c r="A66" s="3" t="s">
        <v>222</v>
      </c>
      <c r="B66" s="3" t="s">
        <v>223</v>
      </c>
      <c r="C66" s="3" t="s">
        <v>224</v>
      </c>
      <c r="D66" s="7" t="s">
        <v>66</v>
      </c>
      <c r="E66" s="11" t="s">
        <v>220</v>
      </c>
      <c r="F66" s="3" t="s">
        <v>221</v>
      </c>
      <c r="G66" s="3" t="s">
        <v>178</v>
      </c>
      <c r="H66" s="3" t="n">
        <v>3</v>
      </c>
      <c r="I66" s="3" t="s">
        <v>225</v>
      </c>
      <c r="J66" s="3" t="s">
        <v>356</v>
      </c>
      <c r="K66" s="3" t="s">
        <v>351</v>
      </c>
      <c r="L66" s="12" t="n">
        <f aca="false">COUNTIF($G$2:$G$66,G66)-1</f>
        <v>10</v>
      </c>
      <c r="M66" s="12" t="n">
        <f aca="false">COUNTIFS($G$2:$G$66,G66,$K$2:$K$66,K66)-1</f>
        <v>7</v>
      </c>
      <c r="N66" s="13" t="n">
        <f aca="false">IFERROR(M66/L66,"")</f>
        <v>0.7</v>
      </c>
    </row>
    <row r="68" customFormat="false" ht="15" hidden="false" customHeight="true" outlineLevel="0" collapsed="false">
      <c r="A68" s="14" t="s">
        <v>391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</row>
    <row r="69" customFormat="false" ht="15" hidden="false" customHeight="false" outlineLevel="0" collapsed="false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</row>
  </sheetData>
  <mergeCells count="1">
    <mergeCell ref="A68:K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" t="s">
        <v>392</v>
      </c>
      <c r="B1" s="1" t="s">
        <v>1</v>
      </c>
      <c r="C1" s="1" t="s">
        <v>393</v>
      </c>
      <c r="D1" s="1" t="s">
        <v>8</v>
      </c>
      <c r="E1" s="1" t="s">
        <v>394</v>
      </c>
      <c r="F1" s="1" t="s">
        <v>395</v>
      </c>
      <c r="G1" s="1" t="s">
        <v>396</v>
      </c>
      <c r="H1" s="1" t="s">
        <v>397</v>
      </c>
    </row>
    <row r="2" customFormat="false" ht="15" hidden="false" customHeight="false" outlineLevel="0" collapsed="false">
      <c r="A2" s="3" t="s">
        <v>398</v>
      </c>
      <c r="B2" s="3" t="s">
        <v>15</v>
      </c>
      <c r="C2" s="3" t="s">
        <v>399</v>
      </c>
      <c r="D2" s="4" t="s">
        <v>330</v>
      </c>
      <c r="E2" s="3" t="n">
        <v>8</v>
      </c>
      <c r="F2" s="3" t="n">
        <v>8</v>
      </c>
      <c r="G2" s="15" t="n">
        <v>56</v>
      </c>
      <c r="H2" s="16" t="n">
        <v>4</v>
      </c>
    </row>
    <row r="3" customFormat="false" ht="15" hidden="false" customHeight="false" outlineLevel="0" collapsed="false">
      <c r="A3" s="3" t="s">
        <v>398</v>
      </c>
      <c r="B3" s="3" t="s">
        <v>60</v>
      </c>
      <c r="C3" s="3" t="s">
        <v>400</v>
      </c>
      <c r="D3" s="4" t="s">
        <v>330</v>
      </c>
      <c r="E3" s="3" t="n">
        <v>3</v>
      </c>
      <c r="F3" s="3" t="n">
        <v>3</v>
      </c>
      <c r="G3" s="15" t="n">
        <v>107</v>
      </c>
      <c r="H3" s="16" t="n">
        <v>2.9</v>
      </c>
    </row>
    <row r="4" customFormat="false" ht="15" hidden="false" customHeight="false" outlineLevel="0" collapsed="false">
      <c r="A4" s="3" t="s">
        <v>398</v>
      </c>
      <c r="B4" s="3" t="s">
        <v>72</v>
      </c>
      <c r="C4" s="3" t="s">
        <v>401</v>
      </c>
      <c r="D4" s="4" t="s">
        <v>330</v>
      </c>
      <c r="E4" s="3" t="n">
        <v>6</v>
      </c>
      <c r="F4" s="3" t="n">
        <v>7</v>
      </c>
      <c r="G4" s="15" t="n">
        <v>149</v>
      </c>
      <c r="H4" s="16" t="n">
        <v>4.9</v>
      </c>
    </row>
    <row r="5" customFormat="false" ht="15" hidden="false" customHeight="false" outlineLevel="0" collapsed="false">
      <c r="A5" s="3" t="s">
        <v>398</v>
      </c>
      <c r="B5" s="3" t="s">
        <v>105</v>
      </c>
      <c r="C5" s="3" t="s">
        <v>402</v>
      </c>
      <c r="D5" s="9" t="s">
        <v>323</v>
      </c>
      <c r="E5" s="3" t="n">
        <v>5</v>
      </c>
      <c r="F5" s="3" t="n">
        <v>13</v>
      </c>
      <c r="G5" s="15" t="n">
        <v>177</v>
      </c>
      <c r="H5" s="16" t="n">
        <v>4.9</v>
      </c>
    </row>
    <row r="6" customFormat="false" ht="15" hidden="false" customHeight="false" outlineLevel="0" collapsed="false">
      <c r="A6" s="3" t="s">
        <v>398</v>
      </c>
      <c r="B6" s="3" t="s">
        <v>149</v>
      </c>
      <c r="C6" s="3" t="s">
        <v>403</v>
      </c>
      <c r="D6" s="4" t="s">
        <v>330</v>
      </c>
      <c r="E6" s="3" t="n">
        <v>5</v>
      </c>
      <c r="F6" s="3" t="n">
        <v>7</v>
      </c>
      <c r="G6" s="15" t="n">
        <v>205</v>
      </c>
      <c r="H6" s="16" t="n">
        <v>5.4</v>
      </c>
    </row>
    <row r="7" customFormat="false" ht="15" hidden="false" customHeight="false" outlineLevel="0" collapsed="false">
      <c r="A7" s="3" t="s">
        <v>398</v>
      </c>
      <c r="B7" s="3" t="s">
        <v>177</v>
      </c>
      <c r="C7" s="3" t="s">
        <v>404</v>
      </c>
      <c r="D7" s="7" t="s">
        <v>352</v>
      </c>
      <c r="E7" s="3" t="n">
        <v>7</v>
      </c>
      <c r="F7" s="3" t="n">
        <v>8</v>
      </c>
      <c r="G7" s="15" t="n">
        <v>82</v>
      </c>
      <c r="H7" s="16" t="n">
        <v>4.4</v>
      </c>
    </row>
    <row r="8" customFormat="false" ht="15" hidden="false" customHeight="false" outlineLevel="0" collapsed="false">
      <c r="A8" s="3" t="s">
        <v>398</v>
      </c>
      <c r="B8" s="3" t="s">
        <v>216</v>
      </c>
      <c r="C8" s="3" t="s">
        <v>405</v>
      </c>
      <c r="D8" s="7" t="s">
        <v>352</v>
      </c>
      <c r="E8" s="3" t="n">
        <v>1</v>
      </c>
      <c r="F8" s="3" t="n">
        <v>1</v>
      </c>
      <c r="G8" s="15" t="n">
        <v>37</v>
      </c>
      <c r="H8" s="16" t="n">
        <v>1</v>
      </c>
    </row>
    <row r="9" customFormat="false" ht="15" hidden="false" customHeight="false" outlineLevel="0" collapsed="false">
      <c r="A9" s="3" t="s">
        <v>398</v>
      </c>
      <c r="B9" s="3" t="s">
        <v>221</v>
      </c>
      <c r="C9" s="3" t="s">
        <v>406</v>
      </c>
      <c r="D9" s="7" t="s">
        <v>352</v>
      </c>
      <c r="E9" s="3" t="n">
        <v>2</v>
      </c>
      <c r="F9" s="3" t="n">
        <v>2</v>
      </c>
      <c r="G9" s="15" t="n">
        <v>32</v>
      </c>
      <c r="H9" s="16" t="n">
        <v>1.5</v>
      </c>
    </row>
    <row r="10" customFormat="false" ht="15" hidden="false" customHeight="false" outlineLevel="0" collapsed="false">
      <c r="A10" s="3" t="s">
        <v>398</v>
      </c>
      <c r="B10" s="3" t="s">
        <v>232</v>
      </c>
      <c r="C10" s="3" t="s">
        <v>407</v>
      </c>
      <c r="D10" s="7" t="s">
        <v>352</v>
      </c>
      <c r="E10" s="3" t="n">
        <v>1</v>
      </c>
      <c r="F10" s="3" t="n">
        <v>1</v>
      </c>
      <c r="G10" s="15" t="n">
        <v>43</v>
      </c>
      <c r="H10" s="16" t="n">
        <v>1.1</v>
      </c>
    </row>
    <row r="11" customFormat="false" ht="15" hidden="false" customHeight="false" outlineLevel="0" collapsed="false">
      <c r="A11" s="3" t="s">
        <v>398</v>
      </c>
      <c r="B11" s="3" t="s">
        <v>241</v>
      </c>
      <c r="C11" s="3" t="s">
        <v>408</v>
      </c>
      <c r="D11" s="7" t="s">
        <v>352</v>
      </c>
      <c r="E11" s="3" t="n">
        <v>2</v>
      </c>
      <c r="F11" s="3" t="n">
        <v>2</v>
      </c>
      <c r="G11" s="15" t="n">
        <v>37</v>
      </c>
      <c r="H11" s="16" t="n">
        <v>1.4</v>
      </c>
    </row>
    <row r="12" customFormat="false" ht="15" hidden="false" customHeight="false" outlineLevel="0" collapsed="false">
      <c r="A12" s="3" t="s">
        <v>398</v>
      </c>
      <c r="B12" s="3" t="s">
        <v>250</v>
      </c>
      <c r="C12" s="3" t="s">
        <v>409</v>
      </c>
      <c r="D12" s="7" t="s">
        <v>352</v>
      </c>
      <c r="E12" s="3" t="n">
        <v>1</v>
      </c>
      <c r="F12" s="3" t="n">
        <v>1</v>
      </c>
      <c r="G12" s="15" t="n">
        <v>18</v>
      </c>
      <c r="H12" s="16" t="n">
        <v>1</v>
      </c>
    </row>
    <row r="13" customFormat="false" ht="15" hidden="false" customHeight="false" outlineLevel="0" collapsed="false">
      <c r="A13" s="3" t="s">
        <v>398</v>
      </c>
      <c r="B13" s="3" t="s">
        <v>256</v>
      </c>
      <c r="C13" s="3" t="s">
        <v>410</v>
      </c>
      <c r="D13" s="7" t="s">
        <v>352</v>
      </c>
      <c r="E13" s="3" t="n">
        <v>3</v>
      </c>
      <c r="F13" s="3" t="n">
        <v>3</v>
      </c>
      <c r="G13" s="15" t="n">
        <v>41</v>
      </c>
      <c r="H13" s="16" t="n">
        <v>1.9</v>
      </c>
    </row>
    <row r="14" customFormat="false" ht="15" hidden="false" customHeight="false" outlineLevel="0" collapsed="false">
      <c r="A14" s="3" t="s">
        <v>398</v>
      </c>
      <c r="B14" s="3" t="s">
        <v>273</v>
      </c>
      <c r="C14" s="3" t="s">
        <v>411</v>
      </c>
      <c r="D14" s="7" t="s">
        <v>352</v>
      </c>
      <c r="E14" s="3" t="n">
        <v>6</v>
      </c>
      <c r="F14" s="3" t="n">
        <v>6</v>
      </c>
      <c r="G14" s="15" t="n">
        <v>64</v>
      </c>
      <c r="H14" s="16" t="n">
        <v>3.7</v>
      </c>
    </row>
    <row r="15" customFormat="false" ht="15" hidden="false" customHeight="false" outlineLevel="0" collapsed="false">
      <c r="A15" s="3" t="s">
        <v>398</v>
      </c>
      <c r="B15" s="3" t="s">
        <v>304</v>
      </c>
      <c r="C15" s="3" t="s">
        <v>412</v>
      </c>
      <c r="D15" s="7" t="s">
        <v>352</v>
      </c>
      <c r="E15" s="3" t="n">
        <v>1</v>
      </c>
      <c r="F15" s="3" t="n">
        <v>1</v>
      </c>
      <c r="G15" s="15" t="n">
        <v>32</v>
      </c>
      <c r="H15" s="16" t="n">
        <v>0.9</v>
      </c>
    </row>
    <row r="16" customFormat="false" ht="15" hidden="false" customHeight="false" outlineLevel="0" collapsed="false">
      <c r="A16" s="3" t="s">
        <v>398</v>
      </c>
      <c r="B16" s="3" t="s">
        <v>310</v>
      </c>
      <c r="C16" s="3" t="s">
        <v>413</v>
      </c>
      <c r="D16" s="7" t="s">
        <v>352</v>
      </c>
      <c r="E16" s="3" t="n">
        <v>2</v>
      </c>
      <c r="F16" s="3" t="n">
        <v>2</v>
      </c>
      <c r="G16" s="15" t="n">
        <v>41</v>
      </c>
      <c r="H16" s="16" t="n">
        <v>1.6</v>
      </c>
    </row>
    <row r="17" customFormat="false" ht="15" hidden="false" customHeight="false" outlineLevel="0" collapsed="false">
      <c r="C17" s="17" t="s">
        <v>414</v>
      </c>
      <c r="E17" s="18" t="n">
        <f aca="false">SUM(E2:E16)</f>
        <v>53</v>
      </c>
      <c r="F17" s="18" t="n">
        <f aca="false">SUM(F2:F16)</f>
        <v>65</v>
      </c>
      <c r="G17" s="18" t="n">
        <f aca="false">SUM(G2:G16)</f>
        <v>1121</v>
      </c>
    </row>
    <row r="19" customFormat="false" ht="15" hidden="false" customHeight="false" outlineLevel="0" collapsed="false">
      <c r="A19" s="3" t="s">
        <v>415</v>
      </c>
      <c r="B19" s="3" t="s">
        <v>322</v>
      </c>
      <c r="C19" s="3" t="s">
        <v>416</v>
      </c>
      <c r="D19" s="9" t="s">
        <v>323</v>
      </c>
      <c r="E19" s="3" t="n">
        <v>5</v>
      </c>
      <c r="F19" s="3" t="n">
        <v>12</v>
      </c>
      <c r="G19" s="15" t="n">
        <v>175</v>
      </c>
      <c r="H19" s="16" t="n">
        <v>4.9</v>
      </c>
    </row>
    <row r="20" customFormat="false" ht="15" hidden="false" customHeight="false" outlineLevel="0" collapsed="false">
      <c r="A20" s="3" t="s">
        <v>415</v>
      </c>
      <c r="B20" s="3" t="s">
        <v>329</v>
      </c>
      <c r="C20" s="3" t="s">
        <v>417</v>
      </c>
      <c r="D20" s="4" t="s">
        <v>330</v>
      </c>
      <c r="E20" s="3" t="n">
        <v>10</v>
      </c>
      <c r="F20" s="3" t="n">
        <v>10</v>
      </c>
      <c r="G20" s="15" t="n">
        <v>99</v>
      </c>
      <c r="H20" s="16" t="n">
        <v>5.4</v>
      </c>
    </row>
    <row r="21" customFormat="false" ht="15" hidden="false" customHeight="false" outlineLevel="0" collapsed="false">
      <c r="A21" s="3" t="s">
        <v>415</v>
      </c>
      <c r="B21" s="3" t="s">
        <v>341</v>
      </c>
      <c r="C21" s="3" t="s">
        <v>418</v>
      </c>
      <c r="D21" s="4" t="s">
        <v>330</v>
      </c>
      <c r="E21" s="3" t="n">
        <v>9</v>
      </c>
      <c r="F21" s="3" t="n">
        <v>12</v>
      </c>
      <c r="G21" s="15" t="n">
        <v>209</v>
      </c>
      <c r="H21" s="16" t="n">
        <v>7</v>
      </c>
    </row>
    <row r="22" customFormat="false" ht="15" hidden="false" customHeight="false" outlineLevel="0" collapsed="false">
      <c r="A22" s="3" t="s">
        <v>415</v>
      </c>
      <c r="B22" s="3" t="s">
        <v>351</v>
      </c>
      <c r="C22" s="3" t="s">
        <v>419</v>
      </c>
      <c r="D22" s="7" t="s">
        <v>352</v>
      </c>
      <c r="E22" s="3" t="n">
        <v>8</v>
      </c>
      <c r="F22" s="3" t="n">
        <v>9</v>
      </c>
      <c r="G22" s="15" t="n">
        <v>36</v>
      </c>
      <c r="H22" s="16" t="n">
        <v>3.7</v>
      </c>
    </row>
    <row r="23" customFormat="false" ht="15" hidden="false" customHeight="false" outlineLevel="0" collapsed="false">
      <c r="A23" s="3" t="s">
        <v>415</v>
      </c>
      <c r="B23" s="3" t="s">
        <v>361</v>
      </c>
      <c r="C23" s="3" t="s">
        <v>420</v>
      </c>
      <c r="D23" s="7" t="s">
        <v>352</v>
      </c>
      <c r="E23" s="3" t="n">
        <v>8</v>
      </c>
      <c r="F23" s="3" t="n">
        <v>8</v>
      </c>
      <c r="G23" s="15" t="n">
        <v>44</v>
      </c>
      <c r="H23" s="16" t="n">
        <v>3.7</v>
      </c>
    </row>
    <row r="24" customFormat="false" ht="15" hidden="false" customHeight="false" outlineLevel="0" collapsed="false">
      <c r="A24" s="3" t="s">
        <v>415</v>
      </c>
      <c r="B24" s="3" t="s">
        <v>370</v>
      </c>
      <c r="C24" s="3" t="s">
        <v>421</v>
      </c>
      <c r="D24" s="7" t="s">
        <v>352</v>
      </c>
      <c r="E24" s="3" t="n">
        <v>8</v>
      </c>
      <c r="F24" s="3" t="n">
        <v>8</v>
      </c>
      <c r="G24" s="15" t="n">
        <v>65</v>
      </c>
      <c r="H24" s="16" t="n">
        <v>4.4</v>
      </c>
    </row>
    <row r="25" customFormat="false" ht="15" hidden="false" customHeight="false" outlineLevel="0" collapsed="false">
      <c r="A25" s="3" t="s">
        <v>415</v>
      </c>
      <c r="B25" s="3" t="s">
        <v>379</v>
      </c>
      <c r="C25" s="3" t="s">
        <v>422</v>
      </c>
      <c r="D25" s="7" t="s">
        <v>352</v>
      </c>
      <c r="E25" s="3" t="n">
        <v>3</v>
      </c>
      <c r="F25" s="3" t="n">
        <v>3</v>
      </c>
      <c r="G25" s="15" t="n">
        <v>71</v>
      </c>
      <c r="H25" s="16" t="n">
        <v>2.3</v>
      </c>
    </row>
    <row r="26" customFormat="false" ht="15" hidden="false" customHeight="false" outlineLevel="0" collapsed="false">
      <c r="C26" s="17" t="s">
        <v>423</v>
      </c>
      <c r="E26" s="18" t="n">
        <f aca="false">SUM(E19:E25)</f>
        <v>51</v>
      </c>
      <c r="F26" s="18" t="n">
        <f aca="false">SUM(F19:F25)</f>
        <v>62</v>
      </c>
      <c r="G26" s="18" t="n">
        <f aca="false">SUM(G19:G25)</f>
        <v>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4"/>
  </cols>
  <sheetData>
    <row r="1" customFormat="false" ht="16.15" hidden="false" customHeight="false" outlineLevel="0" collapsed="false">
      <c r="A1" s="19" t="s">
        <v>424</v>
      </c>
    </row>
    <row r="3" customFormat="false" ht="27.75" hidden="false" customHeight="true" outlineLevel="0" collapsed="false">
      <c r="A3" s="20" t="s">
        <v>425</v>
      </c>
      <c r="B3" s="21" t="s">
        <v>426</v>
      </c>
    </row>
    <row r="4" customFormat="false" ht="27.75" hidden="false" customHeight="true" outlineLevel="0" collapsed="false">
      <c r="A4" s="20" t="s">
        <v>427</v>
      </c>
      <c r="B4" s="21" t="s">
        <v>428</v>
      </c>
    </row>
    <row r="5" customFormat="false" ht="27.75" hidden="false" customHeight="true" outlineLevel="0" collapsed="false">
      <c r="A5" s="20" t="s">
        <v>429</v>
      </c>
      <c r="B5" s="21" t="s">
        <v>430</v>
      </c>
    </row>
    <row r="6" customFormat="false" ht="27.75" hidden="false" customHeight="true" outlineLevel="0" collapsed="false">
      <c r="A6" s="20" t="s">
        <v>431</v>
      </c>
      <c r="B6" s="21" t="s">
        <v>432</v>
      </c>
    </row>
    <row r="7" customFormat="false" ht="27.75" hidden="false" customHeight="true" outlineLevel="0" collapsed="false">
      <c r="A7" s="20" t="s">
        <v>433</v>
      </c>
      <c r="B7" s="21" t="s">
        <v>434</v>
      </c>
    </row>
    <row r="8" customFormat="false" ht="27.75" hidden="false" customHeight="true" outlineLevel="0" collapsed="false">
      <c r="A8" s="20" t="s">
        <v>435</v>
      </c>
      <c r="B8" s="21" t="s">
        <v>436</v>
      </c>
    </row>
    <row r="9" customFormat="false" ht="27.75" hidden="false" customHeight="true" outlineLevel="0" collapsed="false">
      <c r="A9" s="20" t="s">
        <v>437</v>
      </c>
      <c r="B9" s="21" t="s">
        <v>438</v>
      </c>
    </row>
    <row r="10" customFormat="false" ht="27.75" hidden="false" customHeight="true" outlineLevel="0" collapsed="false">
      <c r="A10" s="20" t="s">
        <v>439</v>
      </c>
      <c r="B10" s="21" t="s">
        <v>440</v>
      </c>
    </row>
    <row r="11" customFormat="false" ht="27.75" hidden="false" customHeight="true" outlineLevel="0" collapsed="false">
      <c r="A11" s="20" t="s">
        <v>441</v>
      </c>
      <c r="B11" s="21" t="s">
        <v>442</v>
      </c>
    </row>
    <row r="12" customFormat="false" ht="15" hidden="false" customHeight="true" outlineLevel="0" collapsed="false">
      <c r="A12" s="20" t="s">
        <v>443</v>
      </c>
      <c r="B12" s="21" t="s">
        <v>444</v>
      </c>
    </row>
    <row r="13" customFormat="false" ht="15" hidden="false" customHeight="true" outlineLevel="0" collapsed="false">
      <c r="A13" s="20" t="s">
        <v>445</v>
      </c>
      <c r="B13" s="21" t="s">
        <v>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2026-08-18T18:00:45Z</dcterms:created>
  <dc:creator>openpyxl</dc:creator>
  <dc:description/>
  <dc:language>en-US</dc:language>
  <cp:lastModifiedBy/>
  <dcterms:modified xsi:type="dcterms:W3CDTF">2026-08-18T18:00:45Z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